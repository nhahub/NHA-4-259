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20"/>
  </bookViews>
  <sheets>
    <sheet name="Project_Info" sheetId="1" r:id="rId1"/>
    <sheet name="Summary_Report" sheetId="2" r:id="rId2"/>
    <sheet name="Requirements" sheetId="3" r:id="rId3"/>
    <sheet name="User_Stories" sheetId="4" r:id="rId4"/>
    <sheet name="Test_Cases" sheetId="5" r:id="rId5"/>
    <sheet name="Bug_Report" sheetId="6" r:id="rId6"/>
    <sheet name="Traceability"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<sst xmlns="http://schemas.openxmlformats.org/spreadsheetml/2006/main" count="8466" uniqueCount="3669">
  <si>
    <t>Project Name:</t>
  </si>
  <si>
    <t>Zaker AI Platform</t>
  </si>
  <si>
    <t>Client:</t>
  </si>
  <si>
    <t>zakerai.org</t>
  </si>
  <si>
    <t>Created By:</t>
  </si>
  <si>
    <t>QA Team (Atef, Mahmoud, Abdalhamid, Hamza, Kamel)</t>
  </si>
  <si>
    <t>Creation Date:</t>
  </si>
  <si>
    <t>2026-07-13</t>
  </si>
  <si>
    <t>Reviewed by:</t>
  </si>
  <si>
    <t/>
  </si>
  <si>
    <t>Type of Testing:</t>
  </si>
  <si>
    <t>System / Functional / Regression</t>
  </si>
  <si>
    <t>Version:</t>
  </si>
  <si>
    <t>v1.0</t>
  </si>
  <si>
    <t>Total Requirements:</t>
  </si>
  <si>
    <t>Drive materials and show case</t>
  </si>
  <si>
    <t>https://drive.google.com/drive/folders/1a5FFjiuuONhmn_3RtTCtsmp3mwZWFaV2</t>
  </si>
  <si>
    <t>Zaker AI - Test Execution Summary</t>
  </si>
  <si>
    <t>Metric</t>
  </si>
  <si>
    <t>Value</t>
  </si>
  <si>
    <t>Author</t>
  </si>
  <si>
    <t>Total</t>
  </si>
  <si>
    <t>Passed</t>
  </si>
  <si>
    <t>Failed</t>
  </si>
  <si>
    <t>Blocked</t>
  </si>
  <si>
    <t>Not Executed</t>
  </si>
  <si>
    <t>Total Requirements</t>
  </si>
  <si>
    <t>M_Atef</t>
  </si>
  <si>
    <t>Total User Stories</t>
  </si>
  <si>
    <t>Mahmoud Abdalazem</t>
  </si>
  <si>
    <t>Total Test Cases</t>
  </si>
  <si>
    <t>Abdelhamid Anwer</t>
  </si>
  <si>
    <t>Hamza</t>
  </si>
  <si>
    <t>M_Kamel</t>
  </si>
  <si>
    <t>Pass Rate</t>
  </si>
  <si>
    <t>Fail Rate</t>
  </si>
  <si>
    <t>Total Bugs</t>
  </si>
  <si>
    <t>Critical Bugs</t>
  </si>
  <si>
    <t>High Bugs</t>
  </si>
  <si>
    <t>Medium Bugs</t>
  </si>
  <si>
    <t>Low Bugs</t>
  </si>
  <si>
    <t>Requirements Fully Covered</t>
  </si>
  <si>
    <t>Requirements Partially Covered</t>
  </si>
  <si>
    <t>Requirements Not Covered</t>
  </si>
  <si>
    <t>Requirements With Failures</t>
  </si>
  <si>
    <t>Coverage %</t>
  </si>
  <si>
    <t>Req_ID</t>
  </si>
  <si>
    <t>Description</t>
  </si>
  <si>
    <t>Module</t>
  </si>
  <si>
    <t>Priority</t>
  </si>
  <si>
    <t>Status</t>
  </si>
  <si>
    <t>Version</t>
  </si>
  <si>
    <t>FR-AUTH-01</t>
  </si>
  <si>
    <t>The system shall allow new users to register with: phone number (required), username (required), password (required), and either an invitation code or a payment code (required). Email, first name, and last name are optional at registration.</t>
  </si>
  <si>
    <t>Auth</t>
  </si>
  <si>
    <t>P1</t>
  </si>
  <si>
    <t>Active</t>
  </si>
  <si>
    <t>FR-AUTH-02</t>
  </si>
  <si>
    <t>The system shall validate phone number uniqueness and email format at registration, rejecting duplicates with a descriptive error.</t>
  </si>
  <si>
    <t>FR-AUTH-03</t>
  </si>
  <si>
    <t>Users shall log in using username and password credentials.</t>
  </si>
  <si>
    <t>FR-AUTH-04</t>
  </si>
  <si>
    <t>Password reset shall be performed by the tenant admin only; the admin generates a new temporary password for the target user. Self-service password reset is not in scope for v1.</t>
  </si>
  <si>
    <t>FR-AUTH-05</t>
  </si>
  <si>
    <t>Session tokens shall expire after 10 minutes of inactivity; the user shall be prompted to re-authenticate.</t>
  </si>
  <si>
    <t>FR-AUTH-06</t>
  </si>
  <si>
    <t>Invitation codes are single-use and issued by the tenant admin; each code encodes the recipient's designated role on redemption.</t>
  </si>
  <si>
    <t>FR-AUTH-07</t>
  </si>
  <si>
    <t>A user may register using a valid payment code in place of an invitation code when the tenant supports the payment-based enrollment model.</t>
  </si>
  <si>
    <t>FR-AUTH-08</t>
  </si>
  <si>
    <t>The tenant admin can invite and manage users within the limits of the institution's active plan and tier.</t>
  </si>
  <si>
    <t>FR-AUTH-09</t>
  </si>
  <si>
    <t>Students may join a subscription-based tenant by registering with a payment code that covers the subscription fee; the code amount is credited to the tenant balance.</t>
  </si>
  <si>
    <t>FR-AUTH-10</t>
  </si>
  <si>
    <t>Students may join a tenant using an invitation code issued by the admin when the tenant operates on an invitation-only enrollment model.</t>
  </si>
  <si>
    <t>FR-AUTH-11</t>
  </si>
  <si>
    <t>During tenant creation, the institution must specify its student enrollment model: invitation-code only, payment/subscription-based, or both. This setting determines which registration paths are enabled for that tenant.</t>
  </si>
  <si>
    <t>Tenant Setup</t>
  </si>
  <si>
    <t>FR-ITA-01</t>
  </si>
  <si>
    <t>The application form shall collect: institution name, country, city, address, desired subdomain, logo, organisation type, primary brand colour, bio, student enrollment model (invitation / payment / both), subjects taught (multi-select from platform subject list), estimated student capacity, desired plan and tier, and billing cycle.</t>
  </si>
  <si>
    <t>Tenant Onboarding</t>
  </si>
  <si>
    <t>FR-ITA-02</t>
  </si>
  <si>
    <t>The institution shall select a Plan (Basic, Pro, Enterprise) and a Tier (capacity bracket). The tier defines the maximum number of active students.</t>
  </si>
  <si>
    <t>FR-ITA-03</t>
  </si>
  <si>
    <t>The institution shall select a billing cycle: Monthly or Yearly.</t>
  </si>
  <si>
    <t>FR-ITA-04</t>
  </si>
  <si>
    <t>The institution shall provide the full name and email address of the designated Head/Admin who will be created automatically on provisioning.</t>
  </si>
  <si>
    <t>FR-ITA-05</t>
  </si>
  <si>
    <t>The institution may submit a free-trial request; this saves a draft application and notifies Zaker AI staff, who must acknowledge within 48 hours.</t>
  </si>
  <si>
    <t>FR-ITA-06</t>
  </si>
  <si>
    <t>The superuser shall view all pending applications sorted by submission date and filterable by status, org type, and plan.</t>
  </si>
  <si>
    <t>Superuser</t>
  </si>
  <si>
    <t>FR-ITA-07</t>
  </si>
  <si>
    <t>The superuser shall be able to Accept or Reject any application; rejection requires a mandatory written reason that is emailed to the applicant.</t>
  </si>
  <si>
    <t>FR-ITA-08</t>
  </si>
  <si>
    <t>The applicant shall enter a desired subdomain during application; the system shall validate availability in real time before form submission.</t>
  </si>
  <si>
    <t>FR-ITA-09</t>
  </si>
  <si>
    <t>Upon approval, the system shall enqueue the tenant in a provisioning queue and send the institution a confirmation notification with an estimated activation time.</t>
  </si>
  <si>
    <t>FR-ITA-10</t>
  </si>
  <si>
    <t>The system shall provision the tenant subdomain (e.g., myschool.zakerai.com) and make it publicly accessible upon completion.</t>
  </si>
  <si>
    <t>Infrastructure</t>
  </si>
  <si>
    <t>FR-ITA-11</t>
  </si>
  <si>
    <t>The system shall create a fully isolated tenant environment: dedicated database schema, object storage bucket, and configuration namespace.</t>
  </si>
  <si>
    <t>FR-ITA-12</t>
  </si>
  <si>
    <t>The system shall automatically create the Head/Admin account using the name and email provided in the application and deliver credentials via email.</t>
  </si>
  <si>
    <t>FR-ITA-13</t>
  </si>
  <si>
    <t>Upon successful provisioning, the tenant shall be activated and a subscription record created with the start date equal to the provisioning date.</t>
  </si>
  <si>
    <t>Subscription</t>
  </si>
  <si>
    <t>FR-ITA-14</t>
  </si>
  <si>
    <t>If any provisioning step fails, the system shall log the error, roll back all created resources, and notify both the institution and superuser with the failure reason.</t>
  </si>
  <si>
    <t>FR-ITA-15</t>
  </si>
  <si>
    <t>The Head/Admin shall be able to update institution name, logo, primary brand colour, and bio post-provisioning from the tenant settings panel.</t>
  </si>
  <si>
    <t>Tenant Settings</t>
  </si>
  <si>
    <t>P2</t>
  </si>
  <si>
    <t>FR-PUB-01</t>
  </si>
  <si>
    <t>The Zaker AI public marketing page shall include a 'Request Free Trial' form where prospective institutions can submit their contact details and institution type.</t>
  </si>
  <si>
    <t>Public Page</t>
  </si>
  <si>
    <t>FR-PUB-02</t>
  </si>
  <si>
    <t>On trial request approval, the system shall generate and send a free-trial activation code to the applicant; trial tenants are provisioned on the Basic plan unless the superuser overrides.</t>
  </si>
  <si>
    <t>FR-PUB-03</t>
  </si>
  <si>
    <t>The public marketing page shall display an institution leaderboard ranking active, opted-in tenants by configurable metrics (e.g., active student count, course completion rate, average exam scores). This leaderboard is a public feature of the Zaker AI platform marketing site, not of individual tenant portals.</t>
  </si>
  <si>
    <t>FR-PUB-04</t>
  </si>
  <si>
    <t>Institutions may opt out of the public leaderboard at any time from their tenant settings; opt-out takes effect immediately.</t>
  </si>
  <si>
    <t>FR-PUB-05</t>
  </si>
  <si>
    <t>The public leaderboard shall display only aggregate, non-sensitive statistics; no individual student data shall be shown.</t>
  </si>
  <si>
    <t>FR-SUB-01</t>
  </si>
  <si>
    <t>The Head/Admin shall view their current plan, tier, billing cycle, subscription start date, expiry date, and current status from within the tenant portal.</t>
  </si>
  <si>
    <t>FR-SUB-02</t>
  </si>
  <si>
    <t>The system shall create a subscription record upon tenant provisioning, with correct start date, end date, plan, tier, and billing cycle.</t>
  </si>
  <si>
    <t>FR-SUB-03</t>
  </si>
  <si>
    <t>The Head/Admin shall be able to upgrade or downgrade plan/tier at renewal. On downgrade, the system must verify that current usage (active students, teacher AI correction usage) is within the new limits before applying the change.</t>
  </si>
  <si>
    <t>FR-SUB-04</t>
  </si>
  <si>
    <t>Renewed subscriptions shall have end_date calculated as: previous billing cycle end date + billing cycle duration + 7-day renewal buffer.</t>
  </si>
  <si>
    <t>FR-SUB-05</t>
  </si>
  <si>
    <t>The system shall enforce plan feature limits and student capacity limits at runtime on every relevant API call.</t>
  </si>
  <si>
    <t>FR-SUB-06</t>
  </si>
  <si>
    <t>Admin shall apply a renewal by selecting a plan; the system verifies that the institution balance covers the full plan cost before confirming.</t>
  </si>
  <si>
    <t>FR-SUB-07</t>
  </si>
  <si>
    <t>The system shall automatically set subscription status to Pending Renewal 7 days before the expiry date and notify the Head/Admin by email.</t>
  </si>
  <si>
    <t>FR-SUB-08</t>
  </si>
  <si>
    <t>At expiry without renewal, the system shall set status to Grace Period for 7 days; the tenant platform remains fully accessible during this window.</t>
  </si>
  <si>
    <t>FR-SUB-09</t>
  </si>
  <si>
    <t>If the subscription is not renewed by the end of the grace period, the system shall set status to Suspended and restrict all non-admin user access.</t>
  </si>
  <si>
    <t>FR-SUB-10</t>
  </si>
  <si>
    <t>When suspended, only the Head/Admin may access the portal to complete renewal; all tenant data is retained for a configurable period (default: 90 days).</t>
  </si>
  <si>
    <t>FR-SUB-11</t>
  </si>
  <si>
    <t>Renewing after suspension shall immediately restore full tenant access and revert subscription status to Active.</t>
  </si>
  <si>
    <t>FR-SUB-12</t>
  </si>
  <si>
    <t>Successful renewal shall revert subscription status to Active regardless of prior state (Grace Period or Suspended).</t>
  </si>
  <si>
    <t>FR-SUB-13</t>
  </si>
  <si>
    <t>Admin shall view the full renewal history for their subscription.</t>
  </si>
  <si>
    <t>FR-SUB-14</t>
  </si>
  <si>
    <t>Admin shall export subscription details, renewal history, and balance statements as CSV.</t>
  </si>
  <si>
    <t>FR-BAL-01</t>
  </si>
  <si>
    <t>Each tenant balance equals the sum of: all payment codes redeemed directly by the Head/Admin, plus all payment codes redeemed by students who joined the tenant via the payment-based enrollment model.</t>
  </si>
  <si>
    <t>Billing</t>
  </si>
  <si>
    <t>FR-BAL-02</t>
  </si>
  <si>
    <t>When a student redeems a payment code to join a tenant, the code value is credited to the tenant balance and both the global payment record and tenant payment record are marked as Redeemed.</t>
  </si>
  <si>
    <t>FR-BAL-03</t>
  </si>
  <si>
    <t>Adding a payment code by the Head/Admin shall validate it as unused and globally unique, then credit its value to the institution balance.</t>
  </si>
  <si>
    <t>FR-BAL-04</t>
  </si>
  <si>
    <t>The system shall prevent any payment code from being redeemed more than once across the entire platform.</t>
  </si>
  <si>
    <t>FR-BAL-05</t>
  </si>
  <si>
    <t>Each payment code's lifecycle status shall be displayed as: Unused or Redeemed.</t>
  </si>
  <si>
    <t>FR-BAL-06</t>
  </si>
  <si>
    <t>Payment codes shall follow a globally unique format (e.g., PAY-2025-XKQT) and be stored in a shared payments table accessible across all tenants.</t>
  </si>
  <si>
    <t>FR-BAL-07</t>
  </si>
  <si>
    <t>The Head/Admin may submit a withdrawal request specifying: amount, recipient account type (Vodafone Cash, Fawry, Visa), and account details.</t>
  </si>
  <si>
    <t>FR-BAL-08</t>
  </si>
  <si>
    <t>A withdrawal request enters a Pending state; the superuser reviews and approves or rejects it with a mandatory reason for rejections.</t>
  </si>
  <si>
    <t>FR-BAL-09</t>
  </si>
  <si>
    <t>The institution balance may be applied toward subscription renewals directly, bypassing the need for a new payment code.</t>
  </si>
  <si>
    <t>FR-BAL-10</t>
  </si>
  <si>
    <t>Students shall redeem a payment code via a dedicated self-service endpoint that links the code to their student profile and routes the value to the tenant balance.</t>
  </si>
  <si>
    <t>FR-BAL-11</t>
  </si>
  <si>
    <t>The system shall validate subdomain availability in real time before accepting an institution application to prevent conflicts.</t>
  </si>
  <si>
    <t>FR-EXM-01</t>
  </si>
  <si>
    <t>Teachers, Admins, and Heads may create exams targeted at one or more classes. Students are explicitly prohibited from creating class-targeted exams.</t>
  </si>
  <si>
    <t>Exams</t>
  </si>
  <si>
    <t>FR-EXM-02</t>
  </si>
  <si>
    <t>An exam shall support the following question types: Multiple Choice (MCQ), True/False, Short Answer, Essay, and Mathematical problem.</t>
  </si>
  <si>
    <t>FR-EXM-03</t>
  </si>
  <si>
    <t>The exam creator shall configure: title, description, subject, duration (in minutes), start date/time, end date/time, passing score threshold, maximum allowed attempts, and whether to shuffle question order per student.</t>
  </si>
  <si>
    <t>FR-EXM-04</t>
  </si>
  <si>
    <t>The creator may draw questions directly from their personal question bank or build exam questions ad hoc at creation time.</t>
  </si>
  <si>
    <t>FR-EXM-05</t>
  </si>
  <si>
    <t>Exams may be published immediately or saved as drafts for later publishing.</t>
  </si>
  <si>
    <t>FR-EXM-06</t>
  </si>
  <si>
    <t>Teachers may assign an exam to specific classes or to individual students within their assigned classes.</t>
  </si>
  <si>
    <t>FR-EXM-07</t>
  </si>
  <si>
    <t>Admins and Heads may assign exams to any class or student within the tenant.</t>
  </si>
  <si>
    <t>FR-EXM-08</t>
  </si>
  <si>
    <t>Students may take any exam assigned to their class within the defined availability window (start_date to end_date).</t>
  </si>
  <si>
    <t>FR-EXM-09</t>
  </si>
  <si>
    <t>The system shall auto-save in-progress responses every 30 seconds to prevent data loss.</t>
  </si>
  <si>
    <t>FR-EXM-10</t>
  </si>
  <si>
    <t>On timer expiry, the system shall automatically submit the exam with all answers recorded at that point; the student is notified.</t>
  </si>
  <si>
    <t>FR-EXM-11</t>
  </si>
  <si>
    <t>Students may answer a subset of questions (partial submission) and submit; the system grades only the answered questions.</t>
  </si>
  <si>
    <t>FR-EXM-12</t>
  </si>
  <si>
    <t>Teachers and Admins may take any exam in a preview/QA mode; such attempts are not counted toward student records or AI correction quotas.</t>
  </si>
  <si>
    <t>P3</t>
  </si>
  <si>
    <t>FR-EXM-13</t>
  </si>
  <si>
    <t>Objective questions (MCQ, True/False) shall be auto-graded instantly upon submission regardless of plan.</t>
  </si>
  <si>
    <t>FR-EXM-14</t>
  </si>
  <si>
    <t>AI auto-correction for open-ended questions (Short Answer, Essay, Mathematical) is plan-gated as follows: Basic plan — no AI correction; Pro plan — up to a configurable monthly limit (10–20) per teacher; Enterprise plan — unlimited AI correction for teachers.</t>
  </si>
  <si>
    <t>FR-EXM-15</t>
  </si>
  <si>
    <t>When a Pro-plan teacher's monthly AI correction quota is exhausted, remaining open-ended submissions must be graded manually; the system shall alert the teacher when quota is at 80% and at 100%.</t>
  </si>
  <si>
    <t>FR-EXM-16</t>
  </si>
  <si>
    <t>AI correction quota for Pro plan teachers resets on the 1st of each calendar month.</t>
  </si>
  <si>
    <t>FR-EXM-17</t>
  </si>
  <si>
    <t>Teachers shall view all student submissions for exams they own, including the AI's suggested correction, score, and confidence notes for each open-ended question.</t>
  </si>
  <si>
    <t>FR-EXM-18</t>
  </si>
  <si>
    <t>Teachers shall be able to override, adjust, or annotate the AI-suggested grade for any question on any submission.</t>
  </si>
  <si>
    <t>FR-EXM-19</t>
  </si>
  <si>
    <t>Admins and Heads shall have access to all submissions across all exams in the tenant.</t>
  </si>
  <si>
    <t>FR-EXM-20</t>
  </si>
  <si>
    <t>Students shall view their own submission, awarded grades, and the model answer only after the teacher explicitly releases results.</t>
  </si>
  <si>
    <t>FR-EXM-21</t>
  </si>
  <si>
    <t>Students on any plan may create personal practice exams; a monthly creation limit is enforced per plan (exact limits are defined in the product configuration and may vary).</t>
  </si>
  <si>
    <t>FR-EXM-22</t>
  </si>
  <si>
    <t>On the Basic and Pro plans, student self-created practice exams are not AI-corrected; after submission the student sees the model answer for each question.</t>
  </si>
  <si>
    <t>FR-EXM-23</t>
  </si>
  <si>
    <t>On the Enterprise plan, students' self-created practice exams may receive AI correction, subject to tenant-level enterprise quotas.</t>
  </si>
  <si>
    <t>FR-EXM-24</t>
  </si>
  <si>
    <t>Students on Basic plans shall receive no AI correction for self-created exams and are limited to a lower monthly creation quota than higher plans.</t>
  </si>
  <si>
    <t>FR-EXM-25</t>
  </si>
  <si>
    <t>Students may take a self-practice exam on any number of questions, including a single question, without restriction.</t>
  </si>
  <si>
    <t>FR-QB-01</t>
  </si>
  <si>
    <t>Every teacher account shall receive a personal question bank automatically upon joining the platform.</t>
  </si>
  <si>
    <t>Question Bank</t>
  </si>
  <si>
    <t>FR-QB-02</t>
  </si>
  <si>
    <t>At teacher registration, the teacher shall select the subjects they teach. The system shall pre-populate their personal question bank with subject-relevant question templates for each selected subject.</t>
  </si>
  <si>
    <t>FR-QB-03</t>
  </si>
  <si>
    <t>At institution provisioning, the Head/Admin selects the subjects offered by the institution. The system shall create an institution-level question library pre-seeded with templates for those subjects.</t>
  </si>
  <si>
    <t>FR-QB-04</t>
  </si>
  <si>
    <t>Teachers may add custom questions to their personal bank at any time with no restriction on quantity.</t>
  </si>
  <si>
    <t>FR-QB-05</t>
  </si>
  <si>
    <t>Admins and Heads may manage (add, edit, archive) the institution-level question library.</t>
  </si>
  <si>
    <t>FR-QB-06</t>
  </si>
  <si>
    <t>Question bank search, filtering, viewing detailed question metadata, and adding questions from external or shared sources to the tenant library are COMING SOON features and are explicitly out of scope for this release.</t>
  </si>
  <si>
    <t>CF</t>
  </si>
  <si>
    <t>FR-CLS-01</t>
  </si>
  <si>
    <t>Admins and Heads shall create classes with: name, academic year, subject(s), and assigned teacher(s).</t>
  </si>
  <si>
    <t>Classes</t>
  </si>
  <si>
    <t>FR-CLS-02</t>
  </si>
  <si>
    <t>Admins may add or remove students from a class at any time.</t>
  </si>
  <si>
    <t>FR-CLS-03</t>
  </si>
  <si>
    <t>Teachers assigned to a class shall view the class roster and may add students who are already registered in the tenant.</t>
  </si>
  <si>
    <t>FR-CLS-04</t>
  </si>
  <si>
    <t>A student may belong to multiple classes simultaneously.</t>
  </si>
  <si>
    <t>FR-CLS-05</t>
  </si>
  <si>
    <t>Classes may be archived at the end of the academic year; archived classes retain all historical data but become read-only.</t>
  </si>
  <si>
    <t>FR-CLS-06</t>
  </si>
  <si>
    <t>The system shall enforce the tenant's maximum student count limit across all active classes.</t>
  </si>
  <si>
    <t>FR-CLS-07</t>
  </si>
  <si>
    <t>Admins shall assign one or more teachers to a class; a teacher may be assigned to multiple classes.</t>
  </si>
  <si>
    <t>FR-CRS-01</t>
  </si>
  <si>
    <t>Admins and Teachers shall create courses with: title, description, cover image, subject, price (zero for free), and an ordered list of sections.</t>
  </si>
  <si>
    <t>Courses</t>
  </si>
  <si>
    <t>FR-CRS-02</t>
  </si>
  <si>
    <t>Courses shall be organised into Sections containing ordered Lessons.</t>
  </si>
  <si>
    <t>FR-CRS-03</t>
  </si>
  <si>
    <t>Lesson content types supported: video (URL or embed), rich text/HTML, PDF attachment, and embedded quiz.</t>
  </si>
  <si>
    <t>FR-CRS-04</t>
  </si>
  <si>
    <t>Instructors shall save a course as a draft before publishing; a draft course is not visible to students.</t>
  </si>
  <si>
    <t>FR-CRS-05</t>
  </si>
  <si>
    <t>Instructors and Admins shall enrol students individually using a unique course enrollment code.</t>
  </si>
  <si>
    <t>FR-CRS-06</t>
  </si>
  <si>
    <t>Instructors and Admins shall set a course as open-enrollment, allowing students to self-enrol without a code.</t>
  </si>
  <si>
    <t>FR-CRS-07</t>
  </si>
  <si>
    <t>A student may self-enrol in a paid course if their account has sufficient balance to cover the course price.</t>
  </si>
  <si>
    <t>FR-CRS-08</t>
  </si>
  <si>
    <t>Students shall view full course details (description, section titles, lesson count, price) before enrolling.</t>
  </si>
  <si>
    <t>FR-CRS-09</t>
  </si>
  <si>
    <t>Instructors shall reorder sections and lessons via drag-and-drop within the course editor.</t>
  </si>
  <si>
    <t>FR-CRS-10</t>
  </si>
  <si>
    <t>The system shall automatically mark a lesson as complete when the student reaches the end of the video or scrolls through all text content.</t>
  </si>
  <si>
    <t>FR-CRS-11</t>
  </si>
  <si>
    <t>Instructors may enable sequential learning mode, which locks subsequent lessons until the current lesson is marked complete.</t>
  </si>
  <si>
    <t>FR-CRS-12</t>
  </si>
  <si>
    <t>The system shall calculate and display each enrolled student's course completion percentage on both the student dashboard and the instructor's roster view.</t>
  </si>
  <si>
    <t>FR-ANL-01</t>
  </si>
  <si>
    <t>The platform shall provide a Class Analytics dashboard per class showing: average score per exam, score distribution, top and bottom performers, lesson completion rate, and student activity timeline.</t>
  </si>
  <si>
    <t>Analytics</t>
  </si>
  <si>
    <t>FR-ANL-02</t>
  </si>
  <si>
    <t>Admins and Heads shall access class analytics for all classes in the tenant. Teachers shall access only analytics for their assigned classes.</t>
  </si>
  <si>
    <t>FR-ANL-03</t>
  </si>
  <si>
    <t>The platform shall provide a Student Profile Analytics view per student showing: individual exam history and score trends, course progress per enrolled course, and cumulative time-on-platform.</t>
  </si>
  <si>
    <t>FR-ANL-04</t>
  </si>
  <si>
    <t>Students shall access their own profile analytics only; teachers and admins shall access analytics for students in their scope.</t>
  </si>
  <si>
    <t>FR-ANL-05</t>
  </si>
  <si>
    <t>The platform shall provide an Exam Analytics dashboard per exam showing: score distribution, question-level difficulty analysis, average completion time, pass/fail rate, and per-question response frequency.</t>
  </si>
  <si>
    <t>FR-ANL-06</t>
  </si>
  <si>
    <t>Analytics data shall be exportable as CSV or PDF by Admins, Heads, and Teachers within their scope.</t>
  </si>
  <si>
    <t>FR-ANL-07</t>
  </si>
  <si>
    <t>The superuser dashboard shall display real-time KPIs: total active tenants, active subscriptions by plan, pending applications count, total payment codes issued this month, and total withdrawal requests pending.</t>
  </si>
  <si>
    <t>FR-ANL-08</t>
  </si>
  <si>
    <t>The superuser shall filter all payment codes by status: Unused or Redeemed, and by date range.</t>
  </si>
  <si>
    <t>FR-ANL-09</t>
  </si>
  <si>
    <t>The superuser shall view a list of all tenants with quick-access filters by plan, status (Active / Suspended / Grace Period), and org type.</t>
  </si>
  <si>
    <t>FR-USR-01</t>
  </si>
  <si>
    <t>Tenant Admin shall create user accounts individually or via bulk CSV import.</t>
  </si>
  <si>
    <t>User Mgmt</t>
  </si>
  <si>
    <t>FR-USR-02</t>
  </si>
  <si>
    <t>The system shall validate CSV imports row-by-row and report per-row errors (invalid format, missing required field, duplicate phone/username) before committing any record.</t>
  </si>
  <si>
    <t>FR-USR-03</t>
  </si>
  <si>
    <t>Tenant Admin shall activate, deactivate, or permanently delete user accounts.</t>
  </si>
  <si>
    <t>FR-USR-04</t>
  </si>
  <si>
    <t>Deactivated users shall immediately lose all platform access; their submissions, grades, and history are fully retained and restored upon reactivation.</t>
  </si>
  <si>
    <t>FR-USR-05</t>
  </si>
  <si>
    <t>Admin shall organise students into classes for reporting and assignment purposes.</t>
  </si>
  <si>
    <t>FR-USR-06</t>
  </si>
  <si>
    <t>Admin shall add or remove users from classes at any time without affecting historical records.</t>
  </si>
  <si>
    <t>FR-USR-07</t>
  </si>
  <si>
    <t>Admin shall generate single-use invitation codes, each specifying the role (Teacher, Student) to be assigned to the recipient on redemption.</t>
  </si>
  <si>
    <t>FR-USR-08</t>
  </si>
  <si>
    <t>The system shall enforce the tenant's active user count against the plan tier limits; the admin shall be warned when usage reaches 90% of the tier capacity.</t>
  </si>
  <si>
    <t>FR-PER-01</t>
  </si>
  <si>
    <t>API responses for standard CRUD operations shall complete in under 300 ms at the 95th percentile under normal load.</t>
  </si>
  <si>
    <t>Performance N</t>
  </si>
  <si>
    <t>FR-PER-02</t>
  </si>
  <si>
    <t>The platform shall support at least 1,000 concurrent active users per tenant on Enterprise tier without degradation.</t>
  </si>
  <si>
    <t>FR-PER-03</t>
  </si>
  <si>
    <t>Exam auto-save operations shall complete server-side within 1 second of being triggered.</t>
  </si>
  <si>
    <t>FR-PER-04</t>
  </si>
  <si>
    <t>AI correction results shall be returned within 10 seconds per submission under normal AI service load.</t>
  </si>
  <si>
    <t>FR-PER-05</t>
  </si>
  <si>
    <t>The public marketing page (including leaderboard) shall achieve a First Contentful Paint (FCP) under 2 seconds on a standard 4G connection.</t>
  </si>
  <si>
    <t>Performance</t>
  </si>
  <si>
    <t>FR-SEC-01</t>
  </si>
  <si>
    <t>All data in transit shall be encrypted using TLS 1.2 or higher.</t>
  </si>
  <si>
    <t>Security N</t>
  </si>
  <si>
    <t>FR-SEC-02</t>
  </si>
  <si>
    <t>Passwords shall be hashed using bcrypt with a minimum work factor of 12.</t>
  </si>
  <si>
    <t>FR-SEC-03</t>
  </si>
  <si>
    <t>Tenant data shall be logically isolated via schema-per-tenant architecture; cross-tenant data access at the application layer is prohibited.</t>
  </si>
  <si>
    <t>FR-SEC-04</t>
  </si>
  <si>
    <t>All API endpoints shall enforce role-based access control (RBAC); requests without a valid token or sufficient role shall receive HTTP 401/403.</t>
  </si>
  <si>
    <t>FR-SEC-05</t>
  </si>
  <si>
    <t>Authentication tokens shall use JWT with RS256 signing and a maximum lifetime of 24 hours.</t>
  </si>
  <si>
    <t>FR-SEC-06</t>
  </si>
  <si>
    <t>Failed login attempts shall be rate-limited: account locked after 5 consecutive failures within 10 minutes; unlock requires admin intervention.</t>
  </si>
  <si>
    <t>FR-SEC-07</t>
  </si>
  <si>
    <t>The superuser console shall require multi-factor authentication (MFA) for all admin accounts.</t>
  </si>
  <si>
    <t>FR-SEC-08</t>
  </si>
  <si>
    <t>Payment code values and withdrawal account details shall be stored encrypted at rest.</t>
  </si>
  <si>
    <t>Security</t>
  </si>
  <si>
    <t>FR-SCA-01</t>
  </si>
  <si>
    <t>The platform shall target 99.9% monthly uptime (SLA) for active tenants on Pro and Enterprise plans.</t>
  </si>
  <si>
    <t>Availability N</t>
  </si>
  <si>
    <t>FR-SCA-02</t>
  </si>
  <si>
    <t>The application layer shall support horizontal scaling behind a load balancer with no sticky sessions.</t>
  </si>
  <si>
    <t>Scalability N</t>
  </si>
  <si>
    <t>FR-SCA-03</t>
  </si>
  <si>
    <t>Tenant provisioning shall complete within 5 minutes of superuser approval under normal system load.</t>
  </si>
  <si>
    <t>FR-SCA-04</t>
  </si>
  <si>
    <t>The database layer shall support read replicas for analytics and reporting queries to reduce load on primary instances.</t>
  </si>
  <si>
    <t>FR-SCA-05</t>
  </si>
  <si>
    <t>Background jobs (provisioning, AI correction, CSV imports, notifications) shall be processed via an async queue; no synchronous API call shall block on these operations.</t>
  </si>
  <si>
    <t>Scalability</t>
  </si>
  <si>
    <t>FR-MNT-01</t>
  </si>
  <si>
    <t>The application shall emit structured JSON logs aggregated via a centralised logging service.</t>
  </si>
  <si>
    <t>Ops N</t>
  </si>
  <si>
    <t>FR-MNT-02</t>
  </si>
  <si>
    <t>All tenant data shall be backed up daily with a minimum 30-day retention period.</t>
  </si>
  <si>
    <t>FR-MNT-03</t>
  </si>
  <si>
    <t>The platform shall comply with applicable data protection regulations for the regions in which it operates (e.g., GDPR, Egyptian Personal Data Protection Law).</t>
  </si>
  <si>
    <t>Compliance</t>
  </si>
  <si>
    <t>US_ID</t>
  </si>
  <si>
    <t>Role</t>
  </si>
  <si>
    <t>UserStory</t>
  </si>
  <si>
    <t>AcceptanceCriteria</t>
  </si>
  <si>
    <t>US-001</t>
  </si>
  <si>
    <t>user</t>
  </si>
  <si>
    <t>As a user, I want allow new users to register with: phone number (required), username (required), password (required), and either an invitation code or a payment code (required). Email, first name, and last name are optional at registration., so that the auth behaviour meets the requirement.</t>
  </si>
  <si>
    <t>Given the preconditions defined in FR-AUTH-01, when the action described in the requirement is performed, then the system behaves exactly as specified: The system shall allow new users to register with: phone number (required), username (required), password (required), and either an invitation code or a payment code (required). Email, first name, and last name are optional at registration.</t>
  </si>
  <si>
    <t>US-002</t>
  </si>
  <si>
    <t>As a user, I want validate phone number uniqueness and email format at registration, rejecting duplicates with a descriptive error., so that the auth behaviour meets the requirement.</t>
  </si>
  <si>
    <t>Given the preconditions defined in FR-AUTH-02, when the action described in the requirement is performed, then the system behaves exactly as specified: The system shall validate phone number uniqueness and email format at registration, rejecting duplicates with a descriptive error.</t>
  </si>
  <si>
    <t>US-003</t>
  </si>
  <si>
    <t>As a user, I want log in using username and password credentials., so that the auth behaviour meets the requirement.</t>
  </si>
  <si>
    <t>Given the preconditions defined in FR-AUTH-03, when the action described in the requirement is performed, then the system behaves exactly as specified: Users shall log in using username and password credentials.</t>
  </si>
  <si>
    <t>US-004</t>
  </si>
  <si>
    <t>Head/Admin</t>
  </si>
  <si>
    <t>As a Head/Admin, I want password reset shall be performed by the tenant admin only; the admin generates a new temporary password for the target user, so that the auth behaviour meets the requirement.</t>
  </si>
  <si>
    <t>Given the preconditions defined in FR-AUTH-04, when the action described in the requirement is performed, then the system behaves exactly as specified: Password reset shall be performed by the tenant admin only; the admin generates a new temporary password for the target user. Self-service password reset is not in scope for v1.</t>
  </si>
  <si>
    <t>US-005</t>
  </si>
  <si>
    <t>As a user, I want session tokens shall expire after 10 minutes of inactivity; the user shall be prompted to re-authenticate., so that the auth behaviour meets the requirement.</t>
  </si>
  <si>
    <t>Given the preconditions defined in FR-AUTH-05, when the action described in the requirement is performed, then the system behaves exactly as specified: Session tokens shall expire after 10 minutes of inactivity; the user shall be prompted to re-authenticate.</t>
  </si>
  <si>
    <t>US-006</t>
  </si>
  <si>
    <t>As a Head/Admin, I want invitation codes are single-use and issued by the tenant admin; each code encodes the recipient's designated role on redemption., so that the auth behaviour meets the requirement.</t>
  </si>
  <si>
    <t>Given the preconditions defined in FR-AUTH-06, when the action described in the requirement is performed, then the system behaves exactly as specified: Invitation codes are single-use and issued by the tenant admin; each code encodes the recipient's designated role on redemption.</t>
  </si>
  <si>
    <t>US-007</t>
  </si>
  <si>
    <t>As a user, I want a user may register using a valid payment code in place of an invitation code when the tenant supports the payment-based enrollment model., so that the auth behaviour meets the requirement.</t>
  </si>
  <si>
    <t>Given the preconditions defined in FR-AUTH-07, when the action described in the requirement is performed, then the system behaves exactly as specified: A user may register using a valid payment code in place of an invitation code when the tenant supports the payment-based enrollment model.</t>
  </si>
  <si>
    <t>US-008</t>
  </si>
  <si>
    <t>As a Head/Admin, I want can invite and manage users within the limits of the institution's active plan and tier., so that the auth behaviour meets the requirement.</t>
  </si>
  <si>
    <t>Given the preconditions defined in FR-AUTH-08, when the action described in the requirement is performed, then the system behaves exactly as specified: The tenant admin can invite and manage users within the limits of the institution's active plan and tier.</t>
  </si>
  <si>
    <t>US-009</t>
  </si>
  <si>
    <t>student</t>
  </si>
  <si>
    <t>As a student, I want join a subscription-based tenant by registering with a payment code that covers the subscription fee; the code amount is credited to the tenant balance., so that the auth behaviour meets the requirement.</t>
  </si>
  <si>
    <t>Given the preconditions defined in FR-AUTH-09, when the action described in the requirement is performed, then the system behaves exactly as specified: Students may join a subscription-based tenant by registering with a payment code that covers the subscription fee; the code amount is credited to the tenant balance.</t>
  </si>
  <si>
    <t>US-010</t>
  </si>
  <si>
    <t>As a student, I want join a tenant using an invitation code issued by the admin when the tenant operates on an invitation-only enrollment model., so that the auth behaviour meets the requirement.</t>
  </si>
  <si>
    <t>Given the preconditions defined in FR-AUTH-10, when the action described in the requirement is performed, then the system behaves exactly as specified: Students may join a tenant using an invitation code issued by the admin when the tenant operates on an invitation-only enrollment model.</t>
  </si>
  <si>
    <t>US-011</t>
  </si>
  <si>
    <t>As a student, I want the institution must specify its student enrollment model: invitation-code only, payment/subscription-based, or both, so that the tenant setup behaviour meets the requirement.</t>
  </si>
  <si>
    <t>Given the preconditions defined in FR-AUTH-11, when the action described in the requirement is performed, then the system behaves exactly as specified: During tenant creation, the institution must specify its student enrollment model: invitation-code only, payment/subscription-based, or both. This setting determines which registration paths are enabled for that tenant.</t>
  </si>
  <si>
    <t>US-012</t>
  </si>
  <si>
    <t>As a student, I want collect: institution name, country, city, address, desired subdomain, logo, organisation type, primary brand colour, bio, student enrollment model (invitation / payment / both), subjects taught (multi-select from platform subject list), estimated student capacity, desired plan and tier, and billing cycle., so that the tenant onboarding behaviour meets the requirement.</t>
  </si>
  <si>
    <t>Given the preconditions defined in FR-ITA-01, when the action described in the requirement is performed, then the system behaves exactly as specified: The application form shall collect: institution name, country, city, address, desired subdomain, logo, organisation type, primary brand colour, bio, student enrollment model (invitation / payment / both), subjects taught (multi-select from platform subject list), estimated student capacity, desired plan and tier, and billing cycle.</t>
  </si>
  <si>
    <t>US-013</t>
  </si>
  <si>
    <t>As a student, I want select a Plan (Basic, Pro, Enterprise) and a Tier (capacity bracket). The tier defines the maximum number of active students., so that the tenant onboarding behaviour meets the requirement.</t>
  </si>
  <si>
    <t>Given the preconditions defined in FR-ITA-02, when the action described in the requirement is performed, then the system behaves exactly as specified: The institution shall select a Plan (Basic, Pro, Enterprise) and a Tier (capacity bracket). The tier defines the maximum number of active students.</t>
  </si>
  <si>
    <t>US-014</t>
  </si>
  <si>
    <t>institution admin</t>
  </si>
  <si>
    <t>As a institution admin, I want select a billing cycle: Monthly or Yearly., so that the tenant onboarding behaviour meets the requirement.</t>
  </si>
  <si>
    <t>Given the preconditions defined in FR-ITA-03, when the action described in the requirement is performed, then the system behaves exactly as specified: The institution shall select a billing cycle: Monthly or Yearly.</t>
  </si>
  <si>
    <t>US-015</t>
  </si>
  <si>
    <t>As a institution admin, I want provide the full name and email address of the designated Head/Admin who will be created automatically on provisioning., so that the tenant onboarding behaviour meets the requirement.</t>
  </si>
  <si>
    <t>Given the preconditions defined in FR-ITA-04, when the action described in the requirement is performed, then the system behaves exactly as specified: The institution shall provide the full name and email address of the designated Head/Admin who will be created automatically on provisioning.</t>
  </si>
  <si>
    <t>US-016</t>
  </si>
  <si>
    <t>As a institution admin, I want submit a free-trial request; this saves a draft application and notifies Zaker AI staff, who must acknowledge within 48 hours., so that the tenant onboarding behaviour meets the requirement.</t>
  </si>
  <si>
    <t>Given the preconditions defined in FR-ITA-05, when the action described in the requirement is performed, then the system behaves exactly as specified: The institution may submit a free-trial request; this saves a draft application and notifies Zaker AI staff, who must acknowledge within 48 hours.</t>
  </si>
  <si>
    <t>US-017</t>
  </si>
  <si>
    <t>superuser</t>
  </si>
  <si>
    <t>As a superuser, I want view all pending applications sorted by submission date and filterable by status, org type, and plan., so that the superuser behaviour meets the requirement.</t>
  </si>
  <si>
    <t>Given the preconditions defined in FR-ITA-06, when the action described in the requirement is performed, then the system behaves exactly as specified: The superuser shall view all pending applications sorted by submission date and filterable by status, org type, and plan.</t>
  </si>
  <si>
    <t>US-018</t>
  </si>
  <si>
    <t>As a superuser, I want be able to Accept or Reject any application; rejection requires a mandatory written reason that is emailed to the applicant., so that the superuser behaviour meets the requirement.</t>
  </si>
  <si>
    <t>Given the preconditions defined in FR-ITA-07, when the action described in the requirement is performed, then the system behaves exactly as specified: The superuser shall be able to Accept or Reject any application; rejection requires a mandatory written reason that is emailed to the applicant.</t>
  </si>
  <si>
    <t>US-019</t>
  </si>
  <si>
    <t>As a institution admin, I want enter a desired subdomain during application; the system shall validate availability in real time before form submission., so that the tenant onboarding behaviour meets the requirement.</t>
  </si>
  <si>
    <t>Given the preconditions defined in FR-ITA-08, when the action described in the requirement is performed, then the system behaves exactly as specified: The applicant shall enter a desired subdomain during application; the system shall validate availability in real time before form submission.</t>
  </si>
  <si>
    <t>US-020</t>
  </si>
  <si>
    <t>As a institution admin, I want the system shall enqueue the tenant in a provisioning queue and send the institution a confirmation notification with an estimated activation time., so that the tenant onboarding behaviour meets the requirement.</t>
  </si>
  <si>
    <t>Given the preconditions defined in FR-ITA-09, when the action described in the requirement is performed, then the system behaves exactly as specified: Upon approval, the system shall enqueue the tenant in a provisioning queue and send the institution a confirmation notification with an estimated activation time.</t>
  </si>
  <si>
    <t>US-021</t>
  </si>
  <si>
    <t>guest</t>
  </si>
  <si>
    <t>As a guest, I want provision the tenant subdomain (e.g., myschool.zakerai.com) and make it publicly accessible upon completion., so that the infrastructure behaviour meets the requirement.</t>
  </si>
  <si>
    <t>Given the preconditions defined in FR-ITA-10, when the action described in the requirement is performed, then the system behaves exactly as specified: The system shall provision the tenant subdomain (e.g., myschool.zakerai.com) and make it publicly accessible upon completion.</t>
  </si>
  <si>
    <t>US-022</t>
  </si>
  <si>
    <t>system</t>
  </si>
  <si>
    <t>As a system, I want create a fully isolated tenant environment: dedicated database schema, object storage bucket, and configuration namespace., so that the infrastructure behaviour meets the requirement.</t>
  </si>
  <si>
    <t>Given the preconditions defined in FR-ITA-11, when the action described in the requirement is performed, then the system behaves exactly as specified: The system shall create a fully isolated tenant environment: dedicated database schema, object storage bucket, and configuration namespace.</t>
  </si>
  <si>
    <t>US-023</t>
  </si>
  <si>
    <t>As a Head/Admin, I want automatically create the Head/Admin account using the name and email provided in the application and deliver credentials via email., so that the tenant onboarding behaviour meets the requirement.</t>
  </si>
  <si>
    <t>Given the preconditions defined in FR-ITA-12, when the action described in the requirement is performed, then the system behaves exactly as specified: The system shall automatically create the Head/Admin account using the name and email provided in the application and deliver credentials via email.</t>
  </si>
  <si>
    <t>US-024</t>
  </si>
  <si>
    <t>As a Head/Admin, I want the tenant shall be activated and a subscription record created with the start date equal to the provisioning date., so that the subscription behaviour meets the requirement.</t>
  </si>
  <si>
    <t>Given the preconditions defined in FR-ITA-13, when the action described in the requirement is performed, then the system behaves exactly as specified: Upon successful provisioning, the tenant shall be activated and a subscription record created with the start date equal to the provisioning date.</t>
  </si>
  <si>
    <t>US-025</t>
  </si>
  <si>
    <t>As a superuser, I want the system shall log the error, roll back all created resources, and notify both the institution and superuser with the failure reason., so that the infrastructure behaviour meets the requirement.</t>
  </si>
  <si>
    <t>Given the preconditions defined in FR-ITA-14, when the action described in the requirement is performed, then the system behaves exactly as specified: If any provisioning step fails, the system shall log the error, roll back all created resources, and notify both the institution and superuser with the failure reason.</t>
  </si>
  <si>
    <t>US-026</t>
  </si>
  <si>
    <t>As a Head/Admin, I want be able to update institution name, logo, primary brand colour, and bio post-provisioning from the tenant settings panel., so that the tenant settings behaviour meets the requirement.</t>
  </si>
  <si>
    <t>Given the preconditions defined in FR-ITA-15, when the action described in the requirement is performed, then the system behaves exactly as specified: The Head/Admin shall be able to update institution name, logo, primary brand colour, and bio post-provisioning from the tenant settings panel.</t>
  </si>
  <si>
    <t>US-027</t>
  </si>
  <si>
    <t>As a guest, I want the Zaker AI public marketing page shall include a 'Request Free Trial' form where prospective institutions can submit their contact details and institution type., so that the public page behaviour meets the requirement.</t>
  </si>
  <si>
    <t>Given the preconditions defined in FR-PUB-01, when the action described in the requirement is performed, then the system behaves exactly as specified: The Zaker AI public marketing page shall include a 'Request Free Trial' form where prospective institutions can submit their contact details and institution type.</t>
  </si>
  <si>
    <t>US-028</t>
  </si>
  <si>
    <t>As a superuser, I want on trial request approval, the system shall generate and send a free-trial activation code to the applicant; trial tenants are provisioned on the Basic plan unless the superuser overrides., so that the public page behaviour meets the requirement.</t>
  </si>
  <si>
    <t>Given the preconditions defined in FR-PUB-02, when the action described in the requirement is performed, then the system behaves exactly as specified: On trial request approval, the system shall generate and send a free-trial activation code to the applicant; trial tenants are provisioned on the Basic plan unless the superuser overrides.</t>
  </si>
  <si>
    <t>US-029</t>
  </si>
  <si>
    <t>As a student, I want the public marketing page shall display an institution leaderboard ranking active, opted-in tenants by configurable metrics (e.g., active student count, course completion rate, average exam scores). This leaderboard is a public feature of the Zaker AI platform marketing site, not of individual tenant portals., so that the public page behaviour meets the requirement.</t>
  </si>
  <si>
    <t>Given the preconditions defined in FR-PUB-03, when the action described in the requirement is performed, then the system behaves exactly as specified: The public marketing page shall display an institution leaderboard ranking active, opted-in tenants by configurable metrics (e.g., active student count, course completion rate, average exam scores). This leaderboard is a public feature of the Zaker AI platform marketing site, not of individual tenant portals.</t>
  </si>
  <si>
    <t>US-030</t>
  </si>
  <si>
    <t>As a guest, I want institutions may opt out of the public leaderboard at any time from their tenant settings; opt-out takes effect immediately., so that the public page behaviour meets the requirement.</t>
  </si>
  <si>
    <t>Given the preconditions defined in FR-PUB-04, when the action described in the requirement is performed, then the system behaves exactly as specified: Institutions may opt out of the public leaderboard at any time from their tenant settings; opt-out takes effect immediately.</t>
  </si>
  <si>
    <t>US-031</t>
  </si>
  <si>
    <t>As a student, I want the public leaderboard shall display only aggregate, non-sensitive statistics; no individual student data shall be shown., so that the public page behaviour meets the requirement.</t>
  </si>
  <si>
    <t>Given the preconditions defined in FR-PUB-05, when the action described in the requirement is performed, then the system behaves exactly as specified: The public leaderboard shall display only aggregate, non-sensitive statistics; no individual student data shall be shown.</t>
  </si>
  <si>
    <t>US-032</t>
  </si>
  <si>
    <t>As a Head/Admin, I want view their current plan, tier, billing cycle, subscription start date, expiry date, and current status from within the tenant portal., so that the subscription behaviour meets the requirement.</t>
  </si>
  <si>
    <t>Given the preconditions defined in FR-SUB-01, when the action described in the requirement is performed, then the system behaves exactly as specified: The Head/Admin shall view their current plan, tier, billing cycle, subscription start date, expiry date, and current status from within the tenant portal.</t>
  </si>
  <si>
    <t>US-033</t>
  </si>
  <si>
    <t>As a Head/Admin, I want create a subscription record upon tenant provisioning, with correct start date, end date, plan, tier, and billing cycle., so that the subscription behaviour meets the requirement.</t>
  </si>
  <si>
    <t>Given the preconditions defined in FR-SUB-02, when the action described in the requirement is performed, then the system behaves exactly as specified: The system shall create a subscription record upon tenant provisioning, with correct start date, end date, plan, tier, and billing cycle.</t>
  </si>
  <si>
    <t>US-034</t>
  </si>
  <si>
    <t>As a Head/Admin, I want be able to upgrade or downgrade plan/tier at renewal, so that the subscription behaviour meets the requirement.</t>
  </si>
  <si>
    <t>Given the preconditions defined in FR-SUB-03, when the action described in the requirement is performed, then the system behaves exactly as specified: The Head/Admin shall be able to upgrade or downgrade plan/tier at renewal. On downgrade, the system must verify that current usage (active students, teacher AI correction usage) is within the new limits before applying the change.</t>
  </si>
  <si>
    <t>US-035</t>
  </si>
  <si>
    <t>As a Head/Admin, I want end_date calculated as: previous billing cycle end date + billing cycle duration + 7-day renewal buffer., so that the subscription behaviour meets the requirement.</t>
  </si>
  <si>
    <t>Given the preconditions defined in FR-SUB-04, when the action described in the requirement is performed, then the system behaves exactly as specified: Renewed subscriptions shall have end_date calculated as: previous billing cycle end date + billing cycle duration + 7-day renewal buffer.</t>
  </si>
  <si>
    <t>US-036</t>
  </si>
  <si>
    <t>As a student, I want enforce plan feature limits and student capacity limits at runtime on every relevant API call., so that the subscription behaviour meets the requirement.</t>
  </si>
  <si>
    <t>Given the preconditions defined in FR-SUB-05, when the action described in the requirement is performed, then the system behaves exactly as specified: The system shall enforce plan feature limits and student capacity limits at runtime on every relevant API call.</t>
  </si>
  <si>
    <t>US-037</t>
  </si>
  <si>
    <t>As a Head/Admin, I want admin shall apply a renewal by selecting a plan; the system verifies that the institution balance covers the full plan cost before confirming., so that the subscription behaviour meets the requirement.</t>
  </si>
  <si>
    <t>Given the preconditions defined in FR-SUB-06, when the action described in the requirement is performed, then the system behaves exactly as specified: Admin shall apply a renewal by selecting a plan; the system verifies that the institution balance covers the full plan cost before confirming.</t>
  </si>
  <si>
    <t>US-038</t>
  </si>
  <si>
    <t>As a Head/Admin, I want automatically set subscription status to Pending Renewal 7 days before the expiry date and notify the Head/Admin by email., so that the subscription behaviour meets the requirement.</t>
  </si>
  <si>
    <t>Given the preconditions defined in FR-SUB-07, when the action described in the requirement is performed, then the system behaves exactly as specified: The system shall automatically set subscription status to Pending Renewal 7 days before the expiry date and notify the Head/Admin by email.</t>
  </si>
  <si>
    <t>US-039</t>
  </si>
  <si>
    <t>As a Head/Admin, I want expiry without renewal, the system shall set status to Grace Period for 7 days; the tenant platform remains fully accessible during this window., so that the subscription behaviour meets the requirement.</t>
  </si>
  <si>
    <t>Given the preconditions defined in FR-SUB-08, when the action described in the requirement is performed, then the system behaves exactly as specified: At expiry without renewal, the system shall set status to Grace Period for 7 days; the tenant platform remains fully accessible during this window.</t>
  </si>
  <si>
    <t>US-040</t>
  </si>
  <si>
    <t>As a Head/Admin, I want if the subscription is not renewed by the end of the grace period, the system shall set status to Suspended and restrict all non-admin user access., so that the subscription behaviour meets the requirement.</t>
  </si>
  <si>
    <t>Given the preconditions defined in FR-SUB-09, when the action described in the requirement is performed, then the system behaves exactly as specified: If the subscription is not renewed by the end of the grace period, the system shall set status to Suspended and restrict all non-admin user access.</t>
  </si>
  <si>
    <t>US-041</t>
  </si>
  <si>
    <t>As a Head/Admin, I want suspended, only the Head/Admin may access the portal to complete renewal; all tenant data is retained for a configurable period (default: 90 days)., so that the subscription behaviour meets the requirement.</t>
  </si>
  <si>
    <t>Given the preconditions defined in FR-SUB-10, when the action described in the requirement is performed, then the system behaves exactly as specified: When suspended, only the Head/Admin may access the portal to complete renewal; all tenant data is retained for a configurable period (default: 90 days).</t>
  </si>
  <si>
    <t>US-042</t>
  </si>
  <si>
    <t>As a Head/Admin, I want renewing after suspension shall immediately restore full tenant access and revert subscription status to Active., so that the subscription behaviour meets the requirement.</t>
  </si>
  <si>
    <t>Given the preconditions defined in FR-SUB-11, when the action described in the requirement is performed, then the system behaves exactly as specified: Renewing after suspension shall immediately restore full tenant access and revert subscription status to Active.</t>
  </si>
  <si>
    <t>US-043</t>
  </si>
  <si>
    <t>As a Head/Admin, I want successful renewal shall revert subscription status to Active regardless of prior state (Grace Period or Suspended)., so that the subscription behaviour meets the requirement.</t>
  </si>
  <si>
    <t>Given the preconditions defined in FR-SUB-12, when the action described in the requirement is performed, then the system behaves exactly as specified: Successful renewal shall revert subscription status to Active regardless of prior state (Grace Period or Suspended).</t>
  </si>
  <si>
    <t>US-044</t>
  </si>
  <si>
    <t>As a Head/Admin, I want admin shall view the full renewal history for their subscription., so that the subscription behaviour meets the requirement.</t>
  </si>
  <si>
    <t>Given the preconditions defined in FR-SUB-13, when the action described in the requirement is performed, then the system behaves exactly as specified: Admin shall view the full renewal history for their subscription.</t>
  </si>
  <si>
    <t>US-045</t>
  </si>
  <si>
    <t>As a Head/Admin, I want admin shall export subscription details, renewal history, and balance statements as CSV., so that the subscription behaviour meets the requirement.</t>
  </si>
  <si>
    <t>Given the preconditions defined in FR-SUB-14, when the action described in the requirement is performed, then the system behaves exactly as specified: Admin shall export subscription details, renewal history, and balance statements as CSV.</t>
  </si>
  <si>
    <t>US-046</t>
  </si>
  <si>
    <t>As a student, I want tenant balance equals the sum of: all payment codes redeemed directly by the Head/Admin, plus all payment codes redeemed by students who joined the tenant via the payment-based enrollment model., so that the billing behaviour meets the requirement.</t>
  </si>
  <si>
    <t>Given the preconditions defined in FR-BAL-01, when the action described in the requirement is performed, then the system behaves exactly as specified: Each tenant balance equals the sum of: all payment codes redeemed directly by the Head/Admin, plus all payment codes redeemed by students who joined the tenant via the payment-based enrollment model.</t>
  </si>
  <si>
    <t>US-047</t>
  </si>
  <si>
    <t>As a student, I want a student redeems a payment code to join a tenant, the code value is credited to the tenant balance and both the global payment record and tenant payment record are marked as Redeemed., so that the billing behaviour meets the requirement.</t>
  </si>
  <si>
    <t>Given the preconditions defined in FR-BAL-02, when the action described in the requirement is performed, then the system behaves exactly as specified: When a student redeems a payment code to join a tenant, the code value is credited to the tenant balance and both the global payment record and tenant payment record are marked as Redeemed.</t>
  </si>
  <si>
    <t>US-048</t>
  </si>
  <si>
    <t>As a Head/Admin, I want a payment code by the Head/Admin shall validate it as unused and globally unique, then credit its value to the institution balance., so that the billing behaviour meets the requirement.</t>
  </si>
  <si>
    <t>Given the preconditions defined in FR-BAL-03, when the action described in the requirement is performed, then the system behaves exactly as specified: Adding a payment code by the Head/Admin shall validate it as unused and globally unique, then credit its value to the institution balance.</t>
  </si>
  <si>
    <t>US-049</t>
  </si>
  <si>
    <t>As a Head/Admin, I want prevent any payment code from being redeemed more than once across the entire platform., so that the billing behaviour meets the requirement.</t>
  </si>
  <si>
    <t>Given the preconditions defined in FR-BAL-04, when the action described in the requirement is performed, then the system behaves exactly as specified: The system shall prevent any payment code from being redeemed more than once across the entire platform.</t>
  </si>
  <si>
    <t>US-050</t>
  </si>
  <si>
    <t>As a Head/Admin, I want payment code's lifecycle status shall be displayed as: Unused or Redeemed., so that the billing behaviour meets the requirement.</t>
  </si>
  <si>
    <t>Given the preconditions defined in FR-BAL-05, when the action described in the requirement is performed, then the system behaves exactly as specified: Each payment code's lifecycle status shall be displayed as: Unused or Redeemed.</t>
  </si>
  <si>
    <t>US-051</t>
  </si>
  <si>
    <t>As a Head/Admin, I want follow a globally unique format (e.g., PAY-2025-XKQT) and be stored in a shared payments table accessible across all tenants., so that the billing behaviour meets the requirement.</t>
  </si>
  <si>
    <t>Given the preconditions defined in FR-BAL-06, when the action described in the requirement is performed, then the system behaves exactly as specified: Payment codes shall follow a globally unique format (e.g., PAY-2025-XKQT) and be stored in a shared payments table accessible across all tenants.</t>
  </si>
  <si>
    <t>US-052</t>
  </si>
  <si>
    <t>As a Head/Admin, I want submit a withdrawal request specifying: amount, recipient account type (Vodafone Cash, Fawry, Visa), and account details., so that the billing behaviour meets the requirement.</t>
  </si>
  <si>
    <t>Given the preconditions defined in FR-BAL-07, when the action described in the requirement is performed, then the system behaves exactly as specified: The Head/Admin may submit a withdrawal request specifying: amount, recipient account type (Vodafone Cash, Fawry, Visa), and account details.</t>
  </si>
  <si>
    <t>US-053</t>
  </si>
  <si>
    <t>As a superuser, I want a withdrawal request enters a Pending state; the superuser reviews and approves or rejects it with a mandatory reason for rejections., so that the billing behaviour meets the requirement.</t>
  </si>
  <si>
    <t>Given the preconditions defined in FR-BAL-08, when the action described in the requirement is performed, then the system behaves exactly as specified: A withdrawal request enters a Pending state; the superuser reviews and approves or rejects it with a mandatory reason for rejections.</t>
  </si>
  <si>
    <t>US-054</t>
  </si>
  <si>
    <t>As a Head/Admin, I want the institution balance may be applied toward subscription renewals directly, bypassing the need for a new payment code., so that the billing behaviour meets the requirement.</t>
  </si>
  <si>
    <t>Given the preconditions defined in FR-BAL-09, when the action described in the requirement is performed, then the system behaves exactly as specified: The institution balance may be applied toward subscription renewals directly, bypassing the need for a new payment code.</t>
  </si>
  <si>
    <t>US-055</t>
  </si>
  <si>
    <t>As a student, I want redeem a payment code via a dedicated self-service endpoint that links the code to their student profile and routes the value to the tenant balance., so that the billing behaviour meets the requirement.</t>
  </si>
  <si>
    <t>Given the preconditions defined in FR-BAL-10, when the action described in the requirement is performed, then the system behaves exactly as specified: Students shall redeem a payment code via a dedicated self-service endpoint that links the code to their student profile and routes the value to the tenant balance.</t>
  </si>
  <si>
    <t>US-056</t>
  </si>
  <si>
    <t>As a institution admin, I want validate subdomain availability in real time before accepting an institution application to prevent conflicts., so that the tenant onboarding behaviour meets the requirement.</t>
  </si>
  <si>
    <t>Given the preconditions defined in FR-BAL-11, when the action described in the requirement is performed, then the system behaves exactly as specified: The system shall validate subdomain availability in real time before accepting an institution application to prevent conflicts.</t>
  </si>
  <si>
    <t>US-057</t>
  </si>
  <si>
    <t>teacher</t>
  </si>
  <si>
    <t>As a teacher, I want teachers, Admins, and Heads may create exams targeted at one or more classes, so that the exams behaviour meets the requirement.</t>
  </si>
  <si>
    <t>Given the preconditions defined in FR-EXM-01, when the action described in the requirement is performed, then the system behaves exactly as specified: Teachers, Admins, and Heads may create exams targeted at one or more classes. Students are explicitly prohibited from creating class-targeted exams.</t>
  </si>
  <si>
    <t>US-058</t>
  </si>
  <si>
    <t>As a teacher, I want an exam shall support the following question types: Multiple Choice (MCQ), True/False, Short Answer, Essay, and Mathematical problem., so that the exams behaviour meets the requirement.</t>
  </si>
  <si>
    <t>Given the preconditions defined in FR-EXM-02, when the action described in the requirement is performed, then the system behaves exactly as specified: An exam shall support the following question types: Multiple Choice (MCQ), True/False, Short Answer, Essay, and Mathematical problem.</t>
  </si>
  <si>
    <t>US-059</t>
  </si>
  <si>
    <t>As a student, I want configure: title, description, subject, duration (in minutes), start date/time, end date/time, passing score threshold, maximum allowed attempts, and whether to shuffle question order per student., so that the exams behaviour meets the requirement.</t>
  </si>
  <si>
    <t>Given the preconditions defined in FR-EXM-03, when the action described in the requirement is performed, then the system behaves exactly as specified: The exam creator shall configure: title, description, subject, duration (in minutes), start date/time, end date/time, passing score threshold, maximum allowed attempts, and whether to shuffle question order per student.</t>
  </si>
  <si>
    <t>US-060</t>
  </si>
  <si>
    <t>As a teacher, I want draw questions directly from their personal question bank or build exam questions ad hoc at creation time., so that the exams behaviour meets the requirement.</t>
  </si>
  <si>
    <t>Given the preconditions defined in FR-EXM-04, when the action described in the requirement is performed, then the system behaves exactly as specified: The creator may draw questions directly from their personal question bank or build exam questions ad hoc at creation time.</t>
  </si>
  <si>
    <t>US-061</t>
  </si>
  <si>
    <t>As a teacher, I want exams may be published immediately or saved as drafts for later publishing., so that the exams behaviour meets the requirement.</t>
  </si>
  <si>
    <t>Given the preconditions defined in FR-EXM-05, when the action described in the requirement is performed, then the system behaves exactly as specified: Exams may be published immediately or saved as drafts for later publishing.</t>
  </si>
  <si>
    <t>US-062</t>
  </si>
  <si>
    <t>As a student, I want assign an exam to specific classes or to individual students within their assigned classes., so that the exams behaviour meets the requirement.</t>
  </si>
  <si>
    <t>Given the preconditions defined in FR-EXM-06, when the action described in the requirement is performed, then the system behaves exactly as specified: Teachers may assign an exam to specific classes or to individual students within their assigned classes.</t>
  </si>
  <si>
    <t>US-063</t>
  </si>
  <si>
    <t>As a Head/Admin, I want admins and Heads may assign exams to any class or student within the tenant., so that the exams behaviour meets the requirement.</t>
  </si>
  <si>
    <t>Given the preconditions defined in FR-EXM-07, when the action described in the requirement is performed, then the system behaves exactly as specified: Admins and Heads may assign exams to any class or student within the tenant.</t>
  </si>
  <si>
    <t>US-064</t>
  </si>
  <si>
    <t>As a student, I want take any exam assigned to their class within the defined availability window (start_date to end_date)., so that the exams behaviour meets the requirement.</t>
  </si>
  <si>
    <t>Given the preconditions defined in FR-EXM-08, when the action described in the requirement is performed, then the system behaves exactly as specified: Students may take any exam assigned to their class within the defined availability window (start_date to end_date).</t>
  </si>
  <si>
    <t>US-065</t>
  </si>
  <si>
    <t>As a teacher, I want auto-save in-progress responses every 30 seconds to prevent data loss., so that the exams behaviour meets the requirement.</t>
  </si>
  <si>
    <t>Given the preconditions defined in FR-EXM-09, when the action described in the requirement is performed, then the system behaves exactly as specified: The system shall auto-save in-progress responses every 30 seconds to prevent data loss.</t>
  </si>
  <si>
    <t>US-066</t>
  </si>
  <si>
    <t>As a student, I want on timer expiry, the system shall automatically submit the exam with all answers recorded at that point; the student is notified., so that the exams behaviour meets the requirement.</t>
  </si>
  <si>
    <t>Given the preconditions defined in FR-EXM-10, when the action described in the requirement is performed, then the system behaves exactly as specified: On timer expiry, the system shall automatically submit the exam with all answers recorded at that point; the student is notified.</t>
  </si>
  <si>
    <t>US-067</t>
  </si>
  <si>
    <t>As a student, I want answer a subset of questions (partial submission) and submit; the system grades only the answered questions., so that the exams behaviour meets the requirement.</t>
  </si>
  <si>
    <t>Given the preconditions defined in FR-EXM-11, when the action described in the requirement is performed, then the system behaves exactly as specified: Students may answer a subset of questions (partial submission) and submit; the system grades only the answered questions.</t>
  </si>
  <si>
    <t>US-068</t>
  </si>
  <si>
    <t>As a teacher, I want teachers and Admins may take any exam in a preview/QA mode; such attempts are not counted toward student records or AI correction quotas., so that the exams behaviour meets the requirement.</t>
  </si>
  <si>
    <t>Given the preconditions defined in FR-EXM-12, when the action described in the requirement is performed, then the system behaves exactly as specified: Teachers and Admins may take any exam in a preview/QA mode; such attempts are not counted toward student records or AI correction quotas.</t>
  </si>
  <si>
    <t>US-069</t>
  </si>
  <si>
    <t>As a teacher, I want (MCQ, True/False) shall be auto-graded instantly upon submission regardless of plan., so that the exams behaviour meets the requirement.</t>
  </si>
  <si>
    <t>Given the preconditions defined in FR-EXM-13, when the action described in the requirement is performed, then the system behaves exactly as specified: Objective questions (MCQ, True/False) shall be auto-graded instantly upon submission regardless of plan.</t>
  </si>
  <si>
    <t>US-070</t>
  </si>
  <si>
    <t>As a teacher, I want auto-correction for open-ended questions (Short Answer, Essay, Mathematical) is plan-gated as follows: Basic plan — no AI correction; Pro plan — up to a configurable monthly limit (10–20) per teacher; Enterprise plan — unlimited AI correction for teachers., so that the exams behaviour meets the requirement.</t>
  </si>
  <si>
    <t>Given the preconditions defined in FR-EXM-14, when the action described in the requirement is performed, then the system behaves exactly as specified: AI auto-correction for open-ended questions (Short Answer, Essay, Mathematical) is plan-gated as follows: Basic plan — no AI correction; Pro plan — up to a configurable monthly limit (10–20) per teacher; Enterprise plan — unlimited AI correction for teachers.</t>
  </si>
  <si>
    <t>US-071</t>
  </si>
  <si>
    <t>As a teacher, I want a Pro-plan teacher's monthly AI correction quota is exhausted, remaining open-ended submissions must be graded manually; the system shall alert the teacher when quota is at 80% and at 100%., so that the exams behaviour meets the requirement.</t>
  </si>
  <si>
    <t>Given the preconditions defined in FR-EXM-15, when the action described in the requirement is performed, then the system behaves exactly as specified: When a Pro-plan teacher's monthly AI correction quota is exhausted, remaining open-ended submissions must be graded manually; the system shall alert the teacher when quota is at 80% and at 100%.</t>
  </si>
  <si>
    <t>US-072</t>
  </si>
  <si>
    <t>As a teacher, I want correction quota for Pro plan teachers resets on the 1st of each calendar month., so that the exams behaviour meets the requirement.</t>
  </si>
  <si>
    <t>Given the preconditions defined in FR-EXM-16, when the action described in the requirement is performed, then the system behaves exactly as specified: AI correction quota for Pro plan teachers resets on the 1st of each calendar month.</t>
  </si>
  <si>
    <t>US-073</t>
  </si>
  <si>
    <t>As a student, I want view all student submissions for exams they own, including the AI's suggested correction, score, and confidence notes for each open-ended question., so that the exams behaviour meets the requirement.</t>
  </si>
  <si>
    <t>Given the preconditions defined in FR-EXM-17, when the action described in the requirement is performed, then the system behaves exactly as specified: Teachers shall view all student submissions for exams they own, including the AI's suggested correction, score, and confidence notes for each open-ended question.</t>
  </si>
  <si>
    <t>US-074</t>
  </si>
  <si>
    <t>As a teacher, I want be able to override, adjust, or annotate the AI-suggested grade for any question on any submission., so that the exams behaviour meets the requirement.</t>
  </si>
  <si>
    <t>Given the preconditions defined in FR-EXM-18, when the action described in the requirement is performed, then the system behaves exactly as specified: Teachers shall be able to override, adjust, or annotate the AI-suggested grade for any question on any submission.</t>
  </si>
  <si>
    <t>US-075</t>
  </si>
  <si>
    <t>As a Head/Admin, I want admins and Heads shall have access to all submissions across all exams in the tenant., so that the exams behaviour meets the requirement.</t>
  </si>
  <si>
    <t>Given the preconditions defined in FR-EXM-19, when the action described in the requirement is performed, then the system behaves exactly as specified: Admins and Heads shall have access to all submissions across all exams in the tenant.</t>
  </si>
  <si>
    <t>US-076</t>
  </si>
  <si>
    <t>As a student, I want view their own submission, awarded grades, and the model answer only after the teacher explicitly releases results., so that the exams behaviour meets the requirement.</t>
  </si>
  <si>
    <t>Given the preconditions defined in FR-EXM-20, when the action described in the requirement is performed, then the system behaves exactly as specified: Students shall view their own submission, awarded grades, and the model answer only after the teacher explicitly releases results.</t>
  </si>
  <si>
    <t>US-077</t>
  </si>
  <si>
    <t>As a student, I want students on any plan may create personal practice exams; a monthly creation limit is enforced per plan (exact limits are defined in the product configuration and may vary)., so that the exams behaviour meets the requirement.</t>
  </si>
  <si>
    <t>Given the preconditions defined in FR-EXM-21, when the action described in the requirement is performed, then the system behaves exactly as specified: Students on any plan may create personal practice exams; a monthly creation limit is enforced per plan (exact limits are defined in the product configuration and may vary).</t>
  </si>
  <si>
    <t>US-078</t>
  </si>
  <si>
    <t>As a student, I want on the Basic and Pro plans, student self-created practice exams are not AI-corrected; after submission the student sees the model answer for each question., so that the exams behaviour meets the requirement.</t>
  </si>
  <si>
    <t>Given the preconditions defined in FR-EXM-22, when the action described in the requirement is performed, then the system behaves exactly as specified: On the Basic and Pro plans, student self-created practice exams are not AI-corrected; after submission the student sees the model answer for each question.</t>
  </si>
  <si>
    <t>US-079</t>
  </si>
  <si>
    <t>As a student, I want on the Enterprise plan, students' self-created practice exams may receive AI correction, subject to tenant-level enterprise quotas., so that the exams behaviour meets the requirement.</t>
  </si>
  <si>
    <t>Given the preconditions defined in FR-EXM-23, when the action described in the requirement is performed, then the system behaves exactly as specified: On the Enterprise plan, students' self-created practice exams may receive AI correction, subject to tenant-level enterprise quotas.</t>
  </si>
  <si>
    <t>US-080</t>
  </si>
  <si>
    <t>As a student, I want students on Basic plans shall receive no AI correction for self-created exams and are limited to a lower monthly creation quota than higher plans., so that the exams behaviour meets the requirement.</t>
  </si>
  <si>
    <t>Given the preconditions defined in FR-EXM-24, when the action described in the requirement is performed, then the system behaves exactly as specified: Students on Basic plans shall receive no AI correction for self-created exams and are limited to a lower monthly creation quota than higher plans.</t>
  </si>
  <si>
    <t>US-081</t>
  </si>
  <si>
    <t>As a student, I want take a self-practice exam on any number of questions, including a single question, without restriction., so that the exams behaviour meets the requirement.</t>
  </si>
  <si>
    <t>Given the preconditions defined in FR-EXM-25, when the action described in the requirement is performed, then the system behaves exactly as specified: Students may take a self-practice exam on any number of questions, including a single question, without restriction.</t>
  </si>
  <si>
    <t>US-082</t>
  </si>
  <si>
    <t>As a teacher, I want every teacher account shall receive a personal question bank automatically upon joining the platform., so that the question bank behaviour meets the requirement.</t>
  </si>
  <si>
    <t>Given the preconditions defined in FR-QB-01, when the action described in the requirement is performed, then the system behaves exactly as specified: Every teacher account shall receive a personal question bank automatically upon joining the platform.</t>
  </si>
  <si>
    <t>US-083</t>
  </si>
  <si>
    <t>As a teacher, I want teacher registration, the teacher shall select the subjects they teach, so that the question bank behaviour meets the requirement.</t>
  </si>
  <si>
    <t>Given the preconditions defined in FR-QB-02, when the action described in the requirement is performed, then the system behaves exactly as specified: At teacher registration, the teacher shall select the subjects they teach. The system shall pre-populate their personal question bank with subject-relevant question templates for each selected subject.</t>
  </si>
  <si>
    <t>US-084</t>
  </si>
  <si>
    <t>As a Head/Admin, I want institution provisioning, the Head/Admin selects the subjects offered by the institution, so that the question bank behaviour meets the requirement.</t>
  </si>
  <si>
    <t>Given the preconditions defined in FR-QB-03, when the action described in the requirement is performed, then the system behaves exactly as specified: At institution provisioning, the Head/Admin selects the subjects offered by the institution. The system shall create an institution-level question library pre-seeded with templates for those subjects.</t>
  </si>
  <si>
    <t>US-085</t>
  </si>
  <si>
    <t>As a teacher, I want add custom questions to their personal bank at any time with no restriction on quantity., so that the question bank behaviour meets the requirement.</t>
  </si>
  <si>
    <t>Given the preconditions defined in FR-QB-04, when the action described in the requirement is performed, then the system behaves exactly as specified: Teachers may add custom questions to their personal bank at any time with no restriction on quantity.</t>
  </si>
  <si>
    <t>US-086</t>
  </si>
  <si>
    <t>As a Head/Admin, I want admins and Heads may manage (add, edit, archive) the institution-level question library., so that the question bank behaviour meets the requirement.</t>
  </si>
  <si>
    <t>Given the preconditions defined in FR-QB-05, when the action described in the requirement is performed, then the system behaves exactly as specified: Admins and Heads may manage (add, edit, archive) the institution-level question library.</t>
  </si>
  <si>
    <t>US-087</t>
  </si>
  <si>
    <t>As a teacher, I want question bank search, filtering, viewing detailed question metadata, and adding questions from external or shared sources to the tenant library are COMING SOON features and are explicitly out of scope for this release., so that the question bank behaviour meets the requirement.</t>
  </si>
  <si>
    <t>Given the preconditions defined in FR-QB-06, when the action described in the requirement is performed, then the system behaves exactly as specified: Question bank search, filtering, viewing detailed question metadata, and adding questions from external or shared sources to the tenant library are COMING SOON features and are explicitly out of scope for this release.</t>
  </si>
  <si>
    <t>US-088</t>
  </si>
  <si>
    <t>As a Head/Admin, I want admins and Heads shall create classes with: name, academic year, subject(s), and assigned teacher(s)., so that the classes behaviour meets the requirement.</t>
  </si>
  <si>
    <t>Given the preconditions defined in FR-CLS-01, when the action described in the requirement is performed, then the system behaves exactly as specified: Admins and Heads shall create classes with: name, academic year, subject(s), and assigned teacher(s).</t>
  </si>
  <si>
    <t>US-089</t>
  </si>
  <si>
    <t>As a Head/Admin, I want admins may add or remove students from a class at any time., so that the classes behaviour meets the requirement.</t>
  </si>
  <si>
    <t>Given the preconditions defined in FR-CLS-02, when the action described in the requirement is performed, then the system behaves exactly as specified: Admins may add or remove students from a class at any time.</t>
  </si>
  <si>
    <t>US-090</t>
  </si>
  <si>
    <t>As a student, I want teachers assigned to a class shall view the class roster and may add students who are already registered in the tenant., so that the classes behaviour meets the requirement.</t>
  </si>
  <si>
    <t>Given the preconditions defined in FR-CLS-03, when the action described in the requirement is performed, then the system behaves exactly as specified: Teachers assigned to a class shall view the class roster and may add students who are already registered in the tenant.</t>
  </si>
  <si>
    <t>US-091</t>
  </si>
  <si>
    <t>As a student, I want a student may belong to multiple classes simultaneously., so that the classes behaviour meets the requirement.</t>
  </si>
  <si>
    <t>Given the preconditions defined in FR-CLS-04, when the action described in the requirement is performed, then the system behaves exactly as specified: A student may belong to multiple classes simultaneously.</t>
  </si>
  <si>
    <t>US-092</t>
  </si>
  <si>
    <t>admin</t>
  </si>
  <si>
    <t>As a admin, I want classes may be archived at the end of the academic year; archived classes retain all historical data but become read-only., so that the classes behaviour meets the requirement.</t>
  </si>
  <si>
    <t>Given the preconditions defined in FR-CLS-05, when the action described in the requirement is performed, then the system behaves exactly as specified: Classes may be archived at the end of the academic year; archived classes retain all historical data but become read-only.</t>
  </si>
  <si>
    <t>US-093</t>
  </si>
  <si>
    <t>As a student, I want enforce the tenant's maximum student count limit across all active classes., so that the classes behaviour meets the requirement.</t>
  </si>
  <si>
    <t>Given the preconditions defined in FR-CLS-06, when the action described in the requirement is performed, then the system behaves exactly as specified: The system shall enforce the tenant's maximum student count limit across all active classes.</t>
  </si>
  <si>
    <t>US-094</t>
  </si>
  <si>
    <t>As a teacher, I want admins shall assign one or more teachers to a class; a teacher may be assigned to multiple classes., so that the classes behaviour meets the requirement.</t>
  </si>
  <si>
    <t>Given the preconditions defined in FR-CLS-07, when the action described in the requirement is performed, then the system behaves exactly as specified: Admins shall assign one or more teachers to a class; a teacher may be assigned to multiple classes.</t>
  </si>
  <si>
    <t>US-095</t>
  </si>
  <si>
    <t>As a teacher, I want admins and Teachers shall create courses with: title, description, cover image, subject, price (zero for free), and an ordered list of sections., so that the courses behaviour meets the requirement.</t>
  </si>
  <si>
    <t>Given the preconditions defined in FR-CRS-01, when the action described in the requirement is performed, then the system behaves exactly as specified: Admins and Teachers shall create courses with: title, description, cover image, subject, price (zero for free), and an ordered list of sections.</t>
  </si>
  <si>
    <t>US-096</t>
  </si>
  <si>
    <t>As a teacher, I want courses shall be organised into Sections containing ordered Lessons., so that the courses behaviour meets the requirement.</t>
  </si>
  <si>
    <t>Given the preconditions defined in FR-CRS-02, when the action described in the requirement is performed, then the system behaves exactly as specified: Courses shall be organised into Sections containing ordered Lessons.</t>
  </si>
  <si>
    <t>US-097</t>
  </si>
  <si>
    <t>As a teacher, I want lesson content types supported: video (URL or embed), rich text/HTML, PDF attachment, and embedded quiz., so that the courses behaviour meets the requirement.</t>
  </si>
  <si>
    <t>Given the preconditions defined in FR-CRS-03, when the action described in the requirement is performed, then the system behaves exactly as specified: Lesson content types supported: video (URL or embed), rich text/HTML, PDF attachment, and embedded quiz.</t>
  </si>
  <si>
    <t>US-098</t>
  </si>
  <si>
    <t>As a student, I want instructors shall save a course as a draft before publishing; a draft course is not visible to students., so that the courses behaviour meets the requirement.</t>
  </si>
  <si>
    <t>Given the preconditions defined in FR-CRS-04, when the action described in the requirement is performed, then the system behaves exactly as specified: Instructors shall save a course as a draft before publishing; a draft course is not visible to students.</t>
  </si>
  <si>
    <t>US-099</t>
  </si>
  <si>
    <t>As a Head/Admin, I want instructors and Admins shall enrol students individually using a unique course enrollment code., so that the courses behaviour meets the requirement.</t>
  </si>
  <si>
    <t>Given the preconditions defined in FR-CRS-05, when the action described in the requirement is performed, then the system behaves exactly as specified: Instructors and Admins shall enrol students individually using a unique course enrollment code.</t>
  </si>
  <si>
    <t>US-100</t>
  </si>
  <si>
    <t>As a Head/Admin, I want instructors and Admins shall set a course as open-enrollment, allowing students to self-enrol without a code., so that the courses behaviour meets the requirement.</t>
  </si>
  <si>
    <t>Given the preconditions defined in FR-CRS-06, when the action described in the requirement is performed, then the system behaves exactly as specified: Instructors and Admins shall set a course as open-enrollment, allowing students to self-enrol without a code.</t>
  </si>
  <si>
    <t>US-101</t>
  </si>
  <si>
    <t>As a student, I want a student may self-enrol in a paid course if their account has sufficient balance to cover the course price., so that the courses behaviour meets the requirement.</t>
  </si>
  <si>
    <t>Given the preconditions defined in FR-CRS-07, when the action described in the requirement is performed, then the system behaves exactly as specified: A student may self-enrol in a paid course if their account has sufficient balance to cover the course price.</t>
  </si>
  <si>
    <t>US-102</t>
  </si>
  <si>
    <t>As a student, I want view full course details (description, section titles, lesson count, price) before enrolling., so that the courses behaviour meets the requirement.</t>
  </si>
  <si>
    <t>Given the preconditions defined in FR-CRS-08, when the action described in the requirement is performed, then the system behaves exactly as specified: Students shall view full course details (description, section titles, lesson count, price) before enrolling.</t>
  </si>
  <si>
    <t>US-103</t>
  </si>
  <si>
    <t>As a teacher, I want instructors shall reorder sections and lessons via drag-and-drop within the course editor., so that the courses behaviour meets the requirement.</t>
  </si>
  <si>
    <t>Given the preconditions defined in FR-CRS-09, when the action described in the requirement is performed, then the system behaves exactly as specified: Instructors shall reorder sections and lessons via drag-and-drop within the course editor.</t>
  </si>
  <si>
    <t>US-104</t>
  </si>
  <si>
    <t>As a student, I want automatically mark a lesson as complete when the student reaches the end of the video or scrolls through all text content., so that the courses behaviour meets the requirement.</t>
  </si>
  <si>
    <t>Given the preconditions defined in FR-CRS-10, when the action described in the requirement is performed, then the system behaves exactly as specified: The system shall automatically mark a lesson as complete when the student reaches the end of the video or scrolls through all text content.</t>
  </si>
  <si>
    <t>US-105</t>
  </si>
  <si>
    <t>As a teacher, I want instructors may enable sequential learning mode, which locks subsequent lessons until the current lesson is marked complete., so that the courses behaviour meets the requirement.</t>
  </si>
  <si>
    <t>Given the preconditions defined in FR-CRS-11, when the action described in the requirement is performed, then the system behaves exactly as specified: Instructors may enable sequential learning mode, which locks subsequent lessons until the current lesson is marked complete.</t>
  </si>
  <si>
    <t>US-106</t>
  </si>
  <si>
    <t>As a student, I want calculate and display each enrolled student's course completion percentage on both the student dashboard and the instructor's roster view., so that the courses behaviour meets the requirement.</t>
  </si>
  <si>
    <t>Given the preconditions defined in FR-CRS-12, when the action described in the requirement is performed, then the system behaves exactly as specified: The system shall calculate and display each enrolled student's course completion percentage on both the student dashboard and the instructor's roster view.</t>
  </si>
  <si>
    <t>US-107</t>
  </si>
  <si>
    <t>As a student, I want the platform shall provide a Class Analytics dashboard per class showing: average score per exam, score distribution, top and bottom performers, lesson completion rate, and student activity timeline., so that the analytics behaviour meets the requirement.</t>
  </si>
  <si>
    <t>Given the preconditions defined in FR-ANL-01, when the action described in the requirement is performed, then the system behaves exactly as specified: The platform shall provide a Class Analytics dashboard per class showing: average score per exam, score distribution, top and bottom performers, lesson completion rate, and student activity timeline.</t>
  </si>
  <si>
    <t>US-108</t>
  </si>
  <si>
    <t>As a Head/Admin, I want admins and Heads shall access class analytics for all classes in the tenant, so that the analytics behaviour meets the requirement.</t>
  </si>
  <si>
    <t>Given the preconditions defined in FR-ANL-02, when the action described in the requirement is performed, then the system behaves exactly as specified: Admins and Heads shall access class analytics for all classes in the tenant. Teachers shall access only analytics for their assigned classes.</t>
  </si>
  <si>
    <t>US-109</t>
  </si>
  <si>
    <t>As a student, I want the platform shall provide a Student Profile Analytics view per student showing: individual exam history and score trends, course progress per enrolled course, and cumulative time-on-platform., so that the analytics behaviour meets the requirement.</t>
  </si>
  <si>
    <t>Given the preconditions defined in FR-ANL-03, when the action described in the requirement is performed, then the system behaves exactly as specified: The platform shall provide a Student Profile Analytics view per student showing: individual exam history and score trends, course progress per enrolled course, and cumulative time-on-platform.</t>
  </si>
  <si>
    <t>US-110</t>
  </si>
  <si>
    <t>As a student, I want access their own profile analytics only; teachers and admins shall access analytics for students in their scope., so that the analytics behaviour meets the requirement.</t>
  </si>
  <si>
    <t>Given the preconditions defined in FR-ANL-04, when the action described in the requirement is performed, then the system behaves exactly as specified: Students shall access their own profile analytics only; teachers and admins shall access analytics for students in their scope.</t>
  </si>
  <si>
    <t>US-111</t>
  </si>
  <si>
    <t>As a admin, I want the platform shall provide an Exam Analytics dashboard per exam showing: score distribution, question-level difficulty analysis, average completion time, pass/fail rate, and per-question response frequency., so that the analytics behaviour meets the requirement.</t>
  </si>
  <si>
    <t>Given the preconditions defined in FR-ANL-05, when the action described in the requirement is performed, then the system behaves exactly as specified: The platform shall provide an Exam Analytics dashboard per exam showing: score distribution, question-level difficulty analysis, average completion time, pass/fail rate, and per-question response frequency.</t>
  </si>
  <si>
    <t>US-112</t>
  </si>
  <si>
    <t>As a teacher, I want analytics data shall be exportable as CSV or PDF by Admins, Heads, and Teachers within their scope., so that the analytics behaviour meets the requirement.</t>
  </si>
  <si>
    <t>Given the preconditions defined in FR-ANL-06, when the action described in the requirement is performed, then the system behaves exactly as specified: Analytics data shall be exportable as CSV or PDF by Admins, Heads, and Teachers within their scope.</t>
  </si>
  <si>
    <t>US-113</t>
  </si>
  <si>
    <t>As a superuser, I want the superuser dashboard shall display real-time KPIs: total active tenants, active subscriptions by plan, pending applications count, total payment codes issued this month, and total withdrawal requests pending., so that the superuser behaviour meets the requirement.</t>
  </si>
  <si>
    <t>Given the preconditions defined in FR-ANL-07, when the action described in the requirement is performed, then the system behaves exactly as specified: The superuser dashboard shall display real-time KPIs: total active tenants, active subscriptions by plan, pending applications count, total payment codes issued this month, and total withdrawal requests pending.</t>
  </si>
  <si>
    <t>US-114</t>
  </si>
  <si>
    <t>As a superuser, I want filter all payment codes by status: Unused or Redeemed, and by date range., so that the superuser behaviour meets the requirement.</t>
  </si>
  <si>
    <t>Given the preconditions defined in FR-ANL-08, when the action described in the requirement is performed, then the system behaves exactly as specified: The superuser shall filter all payment codes by status: Unused or Redeemed, and by date range.</t>
  </si>
  <si>
    <t>US-115</t>
  </si>
  <si>
    <t>As a superuser, I want view a list of all tenants with quick-access filters by plan, status (Active / Suspended / Grace Period), and org type., so that the superuser behaviour meets the requirement.</t>
  </si>
  <si>
    <t>Given the preconditions defined in FR-ANL-09, when the action described in the requirement is performed, then the system behaves exactly as specified: The superuser shall view a list of all tenants with quick-access filters by plan, status (Active / Suspended / Grace Period), and org type.</t>
  </si>
  <si>
    <t>US-116</t>
  </si>
  <si>
    <t>As a Head/Admin, I want tenant Admin shall create user accounts individually or via bulk CSV import., so that the user mgmt behaviour meets the requirement.</t>
  </si>
  <si>
    <t>Given the preconditions defined in FR-USR-01, when the action described in the requirement is performed, then the system behaves exactly as specified: Tenant Admin shall create user accounts individually or via bulk CSV import.</t>
  </si>
  <si>
    <t>US-117</t>
  </si>
  <si>
    <t>As a user, I want validate CSV imports row-by-row and report per-row errors (invalid format, missing required field, duplicate phone/username) before committing any record., so that the user mgmt behaviour meets the requirement.</t>
  </si>
  <si>
    <t>Given the preconditions defined in FR-USR-02, when the action described in the requirement is performed, then the system behaves exactly as specified: The system shall validate CSV imports row-by-row and report per-row errors (invalid format, missing required field, duplicate phone/username) before committing any record.</t>
  </si>
  <si>
    <t>US-118</t>
  </si>
  <si>
    <t>As a Head/Admin, I want tenant Admin shall activate, deactivate, or permanently delete user accounts., so that the user mgmt behaviour meets the requirement.</t>
  </si>
  <si>
    <t>Given the preconditions defined in FR-USR-03, when the action described in the requirement is performed, then the system behaves exactly as specified: Tenant Admin shall activate, deactivate, or permanently delete user accounts.</t>
  </si>
  <si>
    <t>US-119</t>
  </si>
  <si>
    <t>As a user, I want deactivated users shall immediately lose all platform access; their submissions, grades, and history are fully retained and restored upon reactivation., so that the user mgmt behaviour meets the requirement.</t>
  </si>
  <si>
    <t>Given the preconditions defined in FR-USR-04, when the action described in the requirement is performed, then the system behaves exactly as specified: Deactivated users shall immediately lose all platform access; their submissions, grades, and history are fully retained and restored upon reactivation.</t>
  </si>
  <si>
    <t>US-120</t>
  </si>
  <si>
    <t>As a Head/Admin, I want admin shall organise students into classes for reporting and assignment purposes., so that the user mgmt behaviour meets the requirement.</t>
  </si>
  <si>
    <t>Given the preconditions defined in FR-USR-05, when the action described in the requirement is performed, then the system behaves exactly as specified: Admin shall organise students into classes for reporting and assignment purposes.</t>
  </si>
  <si>
    <t>US-121</t>
  </si>
  <si>
    <t>As a Head/Admin, I want admin shall add or remove users from classes at any time without affecting historical records., so that the user mgmt behaviour meets the requirement.</t>
  </si>
  <si>
    <t>Given the preconditions defined in FR-USR-06, when the action described in the requirement is performed, then the system behaves exactly as specified: Admin shall add or remove users from classes at any time without affecting historical records.</t>
  </si>
  <si>
    <t>US-122</t>
  </si>
  <si>
    <t>As a Head/Admin, I want admin shall generate single-use invitation codes, each specifying the role (Teacher, Student) to be assigned to the recipient on redemption., so that the user mgmt behaviour meets the requirement.</t>
  </si>
  <si>
    <t>Given the preconditions defined in FR-USR-07, when the action described in the requirement is performed, then the system behaves exactly as specified: Admin shall generate single-use invitation codes, each specifying the role (Teacher, Student) to be assigned to the recipient on redemption.</t>
  </si>
  <si>
    <t>US-123</t>
  </si>
  <si>
    <t>As a user, I want enforce the tenant's active user count against the plan tier limits; the admin shall be warned when usage reaches 90% of the tier capacity., so that the user mgmt behaviour meets the requirement.</t>
  </si>
  <si>
    <t>Given the preconditions defined in FR-USR-08, when the action described in the requirement is performed, then the system behaves exactly as specified: The system shall enforce the tenant's active user count against the plan tier limits; the admin shall be warned when usage reaches 90% of the tier capacity.</t>
  </si>
  <si>
    <t>US-124</t>
  </si>
  <si>
    <t>As a user, I want aPI responses for standard CRUD operations shall complete in under 300 ms at the 95th percentile under normal load., so that the performance n behaviour meets the requirement.</t>
  </si>
  <si>
    <t>Given the preconditions defined in FR-PER-01, when the action described in the requirement is performed, then the system behaves exactly as specified: API responses for standard CRUD operations shall complete in under 300 ms at the 95th percentile under normal load.</t>
  </si>
  <si>
    <t>US-125</t>
  </si>
  <si>
    <t>As a user, I want the platform shall support at least 1,000 concurrent active users per tenant on Enterprise tier without degradation., so that the performance n behaviour meets the requirement.</t>
  </si>
  <si>
    <t>Given the preconditions defined in FR-PER-02, when the action described in the requirement is performed, then the system behaves exactly as specified: The platform shall support at least 1,000 concurrent active users per tenant on Enterprise tier without degradation.</t>
  </si>
  <si>
    <t>US-126</t>
  </si>
  <si>
    <t>As a user, I want exam auto-save operations shall complete server-side within 1 second of being triggered., so that the performance n behaviour meets the requirement.</t>
  </si>
  <si>
    <t>Given the preconditions defined in FR-PER-03, when the action described in the requirement is performed, then the system behaves exactly as specified: Exam auto-save operations shall complete server-side within 1 second of being triggered.</t>
  </si>
  <si>
    <t>US-127</t>
  </si>
  <si>
    <t>As a user, I want correction results shall be returned within 10 seconds per submission under normal AI service load., so that the performance n behaviour meets the requirement.</t>
  </si>
  <si>
    <t>Given the preconditions defined in FR-PER-04, when the action described in the requirement is performed, then the system behaves exactly as specified: AI correction results shall be returned within 10 seconds per submission under normal AI service load.</t>
  </si>
  <si>
    <t>US-128</t>
  </si>
  <si>
    <t>As a guest, I want the public marketing page (including leaderboard) shall achieve a First Contentful Paint (FCP) under 2 seconds on a standard 4G connection., so that the performance behaviour meets the requirement.</t>
  </si>
  <si>
    <t>Given the preconditions defined in FR-PER-05, when the action described in the requirement is performed, then the system behaves exactly as specified: The public marketing page (including leaderboard) shall achieve a First Contentful Paint (FCP) under 2 seconds on a standard 4G connection.</t>
  </si>
  <si>
    <t>US-129</t>
  </si>
  <si>
    <t>As a user, I want all data in transit shall be encrypted using TLS 1.2 or higher., so that the security n behaviour meets the requirement.</t>
  </si>
  <si>
    <t>Given the preconditions defined in FR-SEC-01, when the action described in the requirement is performed, then the system behaves exactly as specified: All data in transit shall be encrypted using TLS 1.2 or higher.</t>
  </si>
  <si>
    <t>US-130</t>
  </si>
  <si>
    <t>As a user, I want passwords shall be hashed using bcrypt with a minimum work factor of 12., so that the security n behaviour meets the requirement.</t>
  </si>
  <si>
    <t>Given the preconditions defined in FR-SEC-02, when the action described in the requirement is performed, then the system behaves exactly as specified: Passwords shall be hashed using bcrypt with a minimum work factor of 12.</t>
  </si>
  <si>
    <t>US-131</t>
  </si>
  <si>
    <t>As a user, I want tenant data shall be logically isolated via schema-per-tenant architecture; cross-tenant data access at the application layer is prohibited., so that the security n behaviour meets the requirement.</t>
  </si>
  <si>
    <t>Given the preconditions defined in FR-SEC-03, when the action described in the requirement is performed, then the system behaves exactly as specified: Tenant data shall be logically isolated via schema-per-tenant architecture; cross-tenant data access at the application layer is prohibited.</t>
  </si>
  <si>
    <t>US-132</t>
  </si>
  <si>
    <t>As a user, I want all API endpoints shall enforce role-based access control (RBAC); requests without a valid token or sufficient role shall receive HTTP 401/403., so that the security n behaviour meets the requirement.</t>
  </si>
  <si>
    <t>Given the preconditions defined in FR-SEC-04, when the action described in the requirement is performed, then the system behaves exactly as specified: All API endpoints shall enforce role-based access control (RBAC); requests without a valid token or sufficient role shall receive HTTP 401/403.</t>
  </si>
  <si>
    <t>US-133</t>
  </si>
  <si>
    <t>As a user, I want authentication tokens shall use JWT with RS256 signing and a maximum lifetime of 24 hours., so that the security n behaviour meets the requirement.</t>
  </si>
  <si>
    <t>Given the preconditions defined in FR-SEC-05, when the action described in the requirement is performed, then the system behaves exactly as specified: Authentication tokens shall use JWT with RS256 signing and a maximum lifetime of 24 hours.</t>
  </si>
  <si>
    <t>US-134</t>
  </si>
  <si>
    <t>As a user, I want failed login attempts shall be rate-limited: account locked after 5 consecutive failures within 10 minutes; unlock requires admin intervention., so that the security n behaviour meets the requirement.</t>
  </si>
  <si>
    <t>Given the preconditions defined in FR-SEC-06, when the action described in the requirement is performed, then the system behaves exactly as specified: Failed login attempts shall be rate-limited: account locked after 5 consecutive failures within 10 minutes; unlock requires admin intervention.</t>
  </si>
  <si>
    <t>US-135</t>
  </si>
  <si>
    <t>As a superuser, I want the superuser console shall require multi-factor authentication (MFA) for all admin accounts., so that the security n behaviour meets the requirement.</t>
  </si>
  <si>
    <t>Given the preconditions defined in FR-SEC-07, when the action described in the requirement is performed, then the system behaves exactly as specified: The superuser console shall require multi-factor authentication (MFA) for all admin accounts.</t>
  </si>
  <si>
    <t>US-136</t>
  </si>
  <si>
    <t>As a user, I want payment code values and withdrawal account details shall be stored encrypted at rest., so that the security behaviour meets the requirement.</t>
  </si>
  <si>
    <t>Given the preconditions defined in FR-SEC-08, when the action described in the requirement is performed, then the system behaves exactly as specified: Payment code values and withdrawal account details shall be stored encrypted at rest.</t>
  </si>
  <si>
    <t>US-137</t>
  </si>
  <si>
    <t>As a user, I want the platform shall target 99.9% monthly uptime (SLA) for active tenants on Pro and Enterprise plans., so that the availability n behaviour meets the requirement.</t>
  </si>
  <si>
    <t>Given the preconditions defined in FR-SCA-01, when the action described in the requirement is performed, then the system behaves exactly as specified: The platform shall target 99.9% monthly uptime (SLA) for active tenants on Pro and Enterprise plans.</t>
  </si>
  <si>
    <t>US-138</t>
  </si>
  <si>
    <t>As a user, I want the application layer shall support horizontal scaling behind a load balancer with no sticky sessions., so that the scalability n behaviour meets the requirement.</t>
  </si>
  <si>
    <t>Given the preconditions defined in FR-SCA-02, when the action described in the requirement is performed, then the system behaves exactly as specified: The application layer shall support horizontal scaling behind a load balancer with no sticky sessions.</t>
  </si>
  <si>
    <t>US-139</t>
  </si>
  <si>
    <t>As a superuser, I want tenant provisioning shall complete within 5 minutes of superuser approval under normal system load., so that the scalability n behaviour meets the requirement.</t>
  </si>
  <si>
    <t>Given the preconditions defined in FR-SCA-03, when the action described in the requirement is performed, then the system behaves exactly as specified: Tenant provisioning shall complete within 5 minutes of superuser approval under normal system load.</t>
  </si>
  <si>
    <t>US-140</t>
  </si>
  <si>
    <t>As a user, I want the database layer shall support read replicas for analytics and reporting queries to reduce load on primary instances., so that the scalability n behaviour meets the requirement.</t>
  </si>
  <si>
    <t>Given the preconditions defined in FR-SCA-04, when the action described in the requirement is performed, then the system behaves exactly as specified: The database layer shall support read replicas for analytics and reporting queries to reduce load on primary instances.</t>
  </si>
  <si>
    <t>US-141</t>
  </si>
  <si>
    <t>As a user, I want background jobs (provisioning, AI correction, CSV imports, notifications) shall be processed via an async queue; no synchronous API call shall block on these operations., so that the scalability behaviour meets the requirement.</t>
  </si>
  <si>
    <t>Given the preconditions defined in FR-SCA-05, when the action described in the requirement is performed, then the system behaves exactly as specified: Background jobs (provisioning, AI correction, CSV imports, notifications) shall be processed via an async queue; no synchronous API call shall block on these operations.</t>
  </si>
  <si>
    <t>US-142</t>
  </si>
  <si>
    <t>As a user, I want the application shall emit structured JSON logs aggregated via a centralised logging service., so that the ops n behaviour meets the requirement.</t>
  </si>
  <si>
    <t>Given the preconditions defined in FR-MNT-01, when the action described in the requirement is performed, then the system behaves exactly as specified: The application shall emit structured JSON logs aggregated via a centralised logging service.</t>
  </si>
  <si>
    <t>US-143</t>
  </si>
  <si>
    <t>As a user, I want all tenant data shall be backed up daily with a minimum 30-day retention period., so that the ops n behaviour meets the requirement.</t>
  </si>
  <si>
    <t>Given the preconditions defined in FR-MNT-02, when the action described in the requirement is performed, then the system behaves exactly as specified: All tenant data shall be backed up daily with a minimum 30-day retention period.</t>
  </si>
  <si>
    <t>US-144</t>
  </si>
  <si>
    <t>As a user, I want the platform shall comply with applicable data protection regulations for the regions in which it operates (e.g., GDPR, Egyptian Personal Data Protection Law)., so that the compliance behaviour meets the requirement.</t>
  </si>
  <si>
    <t>Given the preconditions defined in FR-MNT-03, when the action described in the requirement is performed, then the system behaves exactly as specified: The platform shall comply with applicable data protection regulations for the regions in which it operates (e.g., GDPR, Egyptian Personal Data Protection Law).</t>
  </si>
  <si>
    <t>TC_ID</t>
  </si>
  <si>
    <t>Scenario</t>
  </si>
  <si>
    <t>Title</t>
  </si>
  <si>
    <t>Preconditions</t>
  </si>
  <si>
    <t>Test Steps</t>
  </si>
  <si>
    <t>Test Data</t>
  </si>
  <si>
    <t>Expected Result</t>
  </si>
  <si>
    <t>Postconditions</t>
  </si>
  <si>
    <t>Actual Result</t>
  </si>
  <si>
    <t>Execution Cycle</t>
  </si>
  <si>
    <t>tc_001</t>
  </si>
  <si>
    <t>Authontication</t>
  </si>
  <si>
    <t>Verification of Required and Optional Fields Presence on Registration Page</t>
  </si>
  <si>
    <t>To verify that the registration form displays all the specified fields upon loading, and to ensure that mandatory fields (Phone Number, Username, Password, Invitation/Payment Code) and optional fields (Email, First Name, Last Name) are correctly distinguished visually</t>
  </si>
  <si>
    <t>1. The Tenant Portal platform is up and running.
2. The registration URL is publicly accessible without prior authentication</t>
  </si>
  <si>
    <t>1. Open the web browser and navigate to the tenant's registration URL.
2. Verify the presence of all required fields and check if they are marked as mandatory
3. Verify the presence of optional fields and ensure they are not marked with mandatory indicators.</t>
  </si>
  <si>
    <t>N/A</t>
  </si>
  <si>
    <t>1. The page loads successfully, displaying the ZAKER AI platform registration interface.
2. All req faild are visiable.</t>
  </si>
  <si>
    <t>The page remains loaded without submitting data or navigating away, with all input fields ready for user interactions.</t>
  </si>
  <si>
    <t>High</t>
  </si>
  <si>
    <t>tc_002</t>
  </si>
  <si>
    <t>Authentication</t>
  </si>
  <si>
    <t>Successful Registration with Admin Invitation Code</t>
  </si>
  <si>
    <t>To verify that a user can successfully register by providing all mandatory fields and a valid invitation code from the admin</t>
  </si>
  <si>
    <t>1. The platform is up and running. 
2. A valid invitation code is provided by the admin.</t>
  </si>
  <si>
    <t>1. Navigate to the registration page.
2. Enter a valid Phone Number, Username, and Password. 
3. Enter the valid Admin Invitation Code. 
4. Click the "Register" button.</t>
  </si>
  <si>
    <t>1.  Valid user details, Admin Code</t>
  </si>
  <si>
    <t>1. The system validates the code. 
2. The account is created successfully. 
3. The user is redirected to the dashboard.</t>
  </si>
  <si>
    <t>User session is established and redirected to the main page.</t>
  </si>
  <si>
    <t>tc_003</t>
  </si>
  <si>
    <t>Verify Registration Fails When Phone Number Field is Left Blank</t>
  </si>
  <si>
    <t>To verify that the system blocks account creation and throws a validation error when a user fills out all required details but leaves the Phone Number field empty.</t>
  </si>
  <si>
    <t>1. The Tenant Registration page is open and fully loaded.</t>
  </si>
  <si>
    <t>1. Fill in all mandatory fields with valid data, but leave the Phone Number field completely blank
2. Click on the "Create Account" button.</t>
  </si>
  <si>
    <t xml:space="preserve">1. Registration is blocked
2. An error massege should be appeare. </t>
  </si>
  <si>
    <t>No account is created, the user remains on the page, and a specific validation error is displayed.</t>
  </si>
  <si>
    <t>tc_004</t>
  </si>
  <si>
    <t>Verify Registration Fails When Username Field is Left Blank</t>
  </si>
  <si>
    <t>To verify that the system blocks account creation and throws a validation error when a user fills out all required details but leaves the Username field empty.</t>
  </si>
  <si>
    <t>1. Fill in all mandatory fields with valid data, but leave the Username field completely blank
2. Click on the "Create Account" button.</t>
  </si>
  <si>
    <t>tc_005</t>
  </si>
  <si>
    <t>Verify Registration Fails When Password Field is Left Blank</t>
  </si>
  <si>
    <t>To verify that the system blocks account creation and throws a validation error when a user fills out all required details but leaves the Password field empty.</t>
  </si>
  <si>
    <t>1. Fill in all mandatory fields with valid data, but leave the Password field completely blank
2. Click on the "Create Account" button.</t>
  </si>
  <si>
    <t>tc_006</t>
  </si>
  <si>
    <t>Verify Registration Fails When Invitation/Payment Code Field is Left Blank</t>
  </si>
  <si>
    <t>To verify that the system blocks account creation and throws a validation error when a user fills out all required details but leaves the Code field empty.</t>
  </si>
  <si>
    <t>1. Fill in all mandatory fields with valid data, but leave the Invitation/Payment Code field completely blank
2. Click on the "Create Account" button.</t>
  </si>
  <si>
    <t>tc_007</t>
  </si>
  <si>
    <t>Verify Successful Registration with Empty Optional Fields</t>
  </si>
  <si>
    <t>To verify that the system successfully creates a new user account when all mandatory fields are provided with valid data, but all optional fields (Email, First Name, Last Name) are left completely blank.</t>
  </si>
  <si>
    <t>1. The Tenant Registration page is open and fully loaded.
2. A valid, unused Invitation or Payment Code is available.</t>
  </si>
  <si>
    <t>1.Fill in all mandatory fields with valid data, but leave Email, First Name, and Last Name completely blank.
2. Click on the "Create Account" button.</t>
  </si>
  <si>
    <t>1. The form submits successfully without any validation errors.
2. The user account is provisioned.  
3. The user is redirected to the dashboard.</t>
  </si>
  <si>
    <t>The account is successfully created in the database, and the user is redirected to the platform dashboard with the appropriate role permissions.</t>
  </si>
  <si>
    <t>tc_008</t>
  </si>
  <si>
    <t>Authenticated User Access to Registration Page (Routing Bug)</t>
  </si>
  <si>
    <t>Verify that an already logged-in user is blocked from accessing the Registration page and is automatically redirected to the dashboard.</t>
  </si>
  <si>
    <t>1. A valid user account is successfully logged into the platform.</t>
  </si>
  <si>
    <t>1. While logged in, manually type the exact Registration URL in the browser's address bar and hit Enter.
2. Observe the system behavior and the loaded page.</t>
  </si>
  <si>
    <t>Registration Url: "https://mr-ali-magdy.zakerai.org/register"</t>
  </si>
  <si>
    <t>1. Strictly blocks access to the registration form.
2. Automatically redirects the user back to their Home/Tenant Dashboard page smoothly.</t>
  </si>
  <si>
    <t>The user's active session remains intact, and no unauthenticated routes are rendered</t>
  </si>
  <si>
    <t>1. The system allows access to the Registration page and renders the signup form despite the user having an active login session.</t>
  </si>
  <si>
    <t>tc_009</t>
  </si>
  <si>
    <t>Verify Registration Fails with an Already Registered/Duplicate Phone Number</t>
  </si>
  <si>
    <t>To verify that the system prevents account creation and displays a descriptive error message when a user tries to register using a phone number that is already associated with an existing account within the same tenant.</t>
  </si>
  <si>
    <t>1. A user account already exists in the system database with the phone number: 01277801995
2. The Tenant Registration page is open and fully loaded.</t>
  </si>
  <si>
    <t>1.Fill in all mandatory fields with valid data, but use the already registered phone number.
2. Click on the "Create Account" button.</t>
  </si>
  <si>
    <t xml:space="preserve">1. Valid user details, Admin Code
2. Phone : 01277801995 
</t>
  </si>
  <si>
    <t xml:space="preserve">1. The registration process is rejected.
2. A clear, descriptive error message is displayed </t>
  </si>
  <si>
    <t>No new account is created, the database remains unchanged, and the user is blocked on the registration screen with a validation error message.</t>
  </si>
  <si>
    <t>tc_010</t>
  </si>
  <si>
    <t>Verify Registration Fails with Invalid Email Formats</t>
  </si>
  <si>
    <t>To verify that the system blocks registration and displays a descriptive error message when the user provides an email address that does not follow the standard format (e.g., missing @, missing domain, or containing invalid characters).</t>
  </si>
  <si>
    <t>The Tenant Registration page is open and fully loaded.</t>
  </si>
  <si>
    <t>1. Fill in all mandatory fields with valid data.
2. In the Email field, enter a format missing the @ symbol.</t>
  </si>
  <si>
    <t xml:space="preserve">1. Valid user details, Admin Code
2. E_mail: mohamed_atefgmail.com
</t>
  </si>
  <si>
    <t>1. The system blocks submission and displays a descriptive error under the email field</t>
  </si>
  <si>
    <t>Registration is blocked, no user is created, and an inline validation error appears under the Email field.</t>
  </si>
  <si>
    <t>tc_011</t>
  </si>
  <si>
    <t>Successful Login (Happy Path)</t>
  </si>
  <si>
    <t>Verify that a user can successfully log in using a valid registered username and password.</t>
  </si>
  <si>
    <t>A valid user account exists with username 'mralimagdy_admin' and password '59wnqgF2e3Mo'. The login page is loaded.</t>
  </si>
  <si>
    <t>1. Navigate to the login URL.
2. Enter a valid username.
3. Enter a valid password.
4. Click the 'Login' button.</t>
  </si>
  <si>
    <t>Username: 'mralimagdy_admin'
Password: '59wnqgF2e3Mo'</t>
  </si>
  <si>
    <t>The system authenticates the user and redirects them to the home dashboard smoothly without errors.</t>
  </si>
  <si>
    <t>User is successfully authenticated, a valid JWT token is issued, and the user is redirected to the tenant dashboard.</t>
  </si>
  <si>
    <t>tc_012</t>
  </si>
  <si>
    <t>Login with Empty Password Field</t>
  </si>
  <si>
    <t>Verify that the system blocks authentication and displays a validation error when the password field is left blank.</t>
  </si>
  <si>
    <t>The login page is loaded and input fields are cleared.</t>
  </si>
  <si>
    <t>1. Navigate to the login URL.
2. Enter a valid username.
3. Leave the password field completely blank.
4. Click the 'Login' button.</t>
  </si>
  <si>
    <t>Username: 'mralimagdy_admin'
Password: '' (Blank)</t>
  </si>
  <si>
    <t xml:space="preserve">Form submission is blocked. An inline validation error appears under the password field </t>
  </si>
  <si>
    <t>No authentication token is generated, the user remains on the login page, and an inline error is displayed.</t>
  </si>
  <si>
    <t>tc_013</t>
  </si>
  <si>
    <t>Login with Both Username and Password Fields Empty</t>
  </si>
  <si>
    <t>Verify that the system blocks login and highlights both mandatory fields when submission is attempted with no inputs.</t>
  </si>
  <si>
    <t>1. Navigate to the login URL.
2. Leave both username and password fields completely blank.
3. Click the 'Login' button.</t>
  </si>
  <si>
    <t>Username: '' (Blank)
Password: '' (Blank)</t>
  </si>
  <si>
    <t>Form submission is blocked. Explicit validation errors appear under both fields (e.g., 'Username is required' and 'Password is required').</t>
  </si>
  <si>
    <t>No network request is sent to the backend, and inline validation errors appear for both missing fields.</t>
  </si>
  <si>
    <t>tc_014</t>
  </si>
  <si>
    <t>Verification of Fields Presence and Visibility</t>
  </si>
  <si>
    <t>Verify that both Username and Password fields are fully visible and properly rendered on the login interface upon page load.</t>
  </si>
  <si>
    <t>The login page URL is accessible.</t>
  </si>
  <si>
    <t>1. Open the web browser.
2. Navigate to the tenant login URL.
3. Observe the presence and visibility of the input fields.</t>
  </si>
  <si>
    <t>Both Username and Password text fields are clearly visible on the UI, and the password field masks input characters (type='password').</t>
  </si>
  <si>
    <t>The fields remain ready for user interaction with no data submitted.</t>
  </si>
  <si>
    <t>tc_015</t>
  </si>
  <si>
    <t>Authenticated User Access to Login Page (Session Lock)</t>
  </si>
  <si>
    <t>Verify that an already logged-in user cannot view the Login interface again and is redirected to the dashboard</t>
  </si>
  <si>
    <t>1. 1. A valid user account is successfully logged into the platform.</t>
  </si>
  <si>
    <t>1. While logged in, manually type the exact Login URL in the browser's address bar and hit Enter.
2. Observe if the login form is displayed.</t>
  </si>
  <si>
    <t>Login URL: "https://mr-ali-magdy.zakerai.org/login"</t>
  </si>
  <si>
    <t>1. The login page is bypassed, and the user is automatically redirected straight to the active dashboard.</t>
  </si>
  <si>
    <t>The user's active session remains intact, preventing double authentication screens.</t>
  </si>
  <si>
    <t>1. The system allows access to the Login page and renders the signin form despite the user having an active login session.</t>
  </si>
  <si>
    <t>tc_016</t>
  </si>
  <si>
    <t>Verify Absence of 'Forgot Password' Self-Service Link on Login Page</t>
  </si>
  <si>
    <t xml:space="preserve">o verify that the login interface does not contain any self-service recovery links (e.g., "Forgot Password", "Reset via Email") </t>
  </si>
  <si>
    <t>The Tenant Login page URL is accessible and the interface is fully rendered on the screen.</t>
  </si>
  <si>
    <t>1. Open the web browser and navigate to the tenant login URL
2. Visually inspect the entire login form area, including under the username and password fields</t>
  </si>
  <si>
    <t>There are no links, buttons, or text indicating "Forgot Password", "Trouble logging in", or "Reset Password"</t>
  </si>
  <si>
    <t>The page remains loaded in its default state with no data submitted or self-service redirect paths available</t>
  </si>
  <si>
    <t>tc_017</t>
  </si>
  <si>
    <t>Verify Tenant Admin Can Successfully Generate a Temporary Password for a User</t>
  </si>
  <si>
    <t>o verify that the Tenant Admin has the functional capability to select a user account, trigger a password reset, and generate a valid temporary password successfully.</t>
  </si>
  <si>
    <t xml:space="preserve">1. The Tenant Admin is logged into the Admin Dashboard
2. A target user account (e.g., student or teacher) exists within the tenant database. </t>
  </si>
  <si>
    <t>1. Navigate to the "User Management" section in the Admin Dashboard.
2. Select the target user and click on the "Reset Password" button
3. Confirm the action to generate the temporary password</t>
  </si>
  <si>
    <t xml:space="preserve">1. The system successfully generates a secure temporary password.  
2. A success notification is displayed.
3. The temporary credentials are delivered or shown to the admin.  </t>
  </si>
  <si>
    <t>A temporary password is created, saved in the database, and the user's old password is instantly deactivated</t>
  </si>
  <si>
    <t xml:space="preserve">Feature isn'n available till now </t>
  </si>
  <si>
    <t>Not_Executed</t>
  </si>
  <si>
    <t>tc_018</t>
  </si>
  <si>
    <t>Verify User is Forced to Redirect to 'Change Password' Page on First Login with Temporary Credentials</t>
  </si>
  <si>
    <t>To verify that when a user logs in using a temporary password generated by the admin, the system automatically redirects them to a mandatory password change screen instead of the home dashboard.</t>
  </si>
  <si>
    <t>1. The Tenant Admin has generated a temporary password for the user.  
2. The user is on the standard login page</t>
  </si>
  <si>
    <t xml:space="preserve">1. Enter the registered username and the freshly generated temporary password.
2. Click the 'Login' button.
</t>
  </si>
  <si>
    <t>1. The system accepts the credentials.
2. Instead of loading the regular dashboard, the UI redirects the user directly to the mandatory /change-password page.
3. A clear prompt is displayed forcing the user to set a new password.</t>
  </si>
  <si>
    <t>The user session is restricted exclusively to the password update form until a new password is submitted.</t>
  </si>
  <si>
    <t>tc_019</t>
  </si>
  <si>
    <t>Verify Temporary Password Becomes Invalid After Being Changed</t>
  </si>
  <si>
    <t>To verify that the temporary password generated by the admin is permanently deactivated once the user uses it to log in and sets a new password. It must not be usable for any subsequent login attempts.</t>
  </si>
  <si>
    <t>1. The Tenant Admin has reset the user's password and provided a temporary password.
2. The user has already logged in using that temporary password and successfully 
3. updated it to a new custom password.The user is currently logged out.</t>
  </si>
  <si>
    <t xml:space="preserve">1. Navigate to the tenant login page
2.Enter the registered username.
3. Enter the old temporary password provided previously by the admin.
4. Click the 'Login' button.
</t>
  </si>
  <si>
    <t>1. The system rejects the login attempt.
2. An error message is displayed (e.g., "Invalid username or password").</t>
  </si>
  <si>
    <t>Login is strictly blocked, no session token is generated, and the database rejects the old temporary credentials.</t>
  </si>
  <si>
    <t>tc_020</t>
  </si>
  <si>
    <t>Verify Successful Login Using the Newly Created Custom Password</t>
  </si>
  <si>
    <t>To verify that the system successfully authenticates the user when they attempt to log in using their newly updated permanent password after the reset flow.</t>
  </si>
  <si>
    <t>1. The user has completed the password reset flow and updated their password to a permanent one.
2. The permanent password is saved in the system database.
3. The login page is loaded.</t>
  </si>
  <si>
    <t xml:space="preserve">1. Navigate to the tenant login page
2.Enter the registered username.
3. Enter the newly created permanent password. 
4. Click the 'Login' button.
</t>
  </si>
  <si>
    <t>1. The system successfully authenticates the user, generates a JWT token, and redirects them to the home dashboard smoothly.</t>
  </si>
  <si>
    <t>User is successfully authenticated, a valid JWT token is issued, and the user is redirected to the home dashboard.</t>
  </si>
  <si>
    <t>tc_021</t>
  </si>
  <si>
    <t>Verify Session Token Expires After 10 Minutes of Total Inactivity</t>
  </si>
  <si>
    <t>To verify that the system automatically invalidates the session token and prompts the user to re-authenticate if no user activity is detected for a continuous duration of 10 minutes.</t>
  </si>
  <si>
    <t>1. The user is successfully logged into the Tenant Dashboard with a valid, active session token</t>
  </si>
  <si>
    <t>1. Log into the platform and navigate to any page inside the dashboard.
2. Leave the application completely idle (no mouse movement, no clicks, no keystrokes) for exactly 10 minutes
3. Observe the application interface immediately after the timer expires
4. Try to click on any button or refresh the page to execute a backend activity after expiry</t>
  </si>
  <si>
    <t>User: mralimagdy_admin
pass: 59wnqgF2e3Mo
10 min of waiting</t>
  </si>
  <si>
    <t xml:space="preserve">1. The session token expires server-side.  
2. The UI prompts the user to re-authenticate </t>
  </si>
  <si>
    <t>The session token is completely invalidated, any subsequent API calls return unauthorized, and the user is redirected or prompted to re-log in.</t>
  </si>
  <si>
    <t>The session expired after 10 minutes of inactivity, and the user was successfully redirected to the login page for re-authentication.</t>
  </si>
  <si>
    <t>tc_022</t>
  </si>
  <si>
    <t>Verify New User is Assigned 'Teacher' Role Upon Using Teacher Invitation Code</t>
  </si>
  <si>
    <t>To verify that when a new user registers using an invitation code specifically generated for a Teacher, the system successfully provisions the account with strict Teacher permissions.</t>
  </si>
  <si>
    <t xml:space="preserve">1. The Tenant Admin has generated an invitation code designated for the Teacher role.  
2. The registration page is open. </t>
  </si>
  <si>
    <t>1. Fill out all required registration fields and enter the Teacher invitation code.
2. Click "Register" and log into the newly created account.</t>
  </si>
  <si>
    <t>invite code: 68ed27c3-3bed-437d-9965-f48a72516f5b</t>
  </si>
  <si>
    <t>1. Registration is successful.  
2. The user is assigned the Teacher role.  
3. The user can view class rosters but cannot access Admin billing or subscription settings.</t>
  </si>
  <si>
    <t>The account is created, and the user has access only to Teacher features (e.g., creating exams, viewing assigned classes).</t>
  </si>
  <si>
    <t>tc_023</t>
  </si>
  <si>
    <t>Verify New User is Assigned 'Student' Role Upon Using Student Invitation Code</t>
  </si>
  <si>
    <t>To verify that when a new user registers using an invitation code specifically generated for a Student, the system successfully provisions the account with standard Student limits.</t>
  </si>
  <si>
    <t xml:space="preserve">1. The Tenant Admin has generated an invitation code designated for the Student role.  
2. The registration page is open. </t>
  </si>
  <si>
    <t>1. Fill out all required registration fields and enter the Student invitation code.
2. Click "Register" and log into the newly created account.</t>
  </si>
  <si>
    <t>invite code: e270602e-42ea-4623-b0c1-027ba27eb5fe</t>
  </si>
  <si>
    <t>1. Registration is successful.  
2. The user is assigned the Student role.  
3. The user can take assigned exams but cannot create exams or view other students' submissions.</t>
  </si>
  <si>
    <t>The account is created, and the user has access only to Student features (e.g., taking assigned exams, consuming courses).</t>
  </si>
  <si>
    <t>tc_024</t>
  </si>
  <si>
    <t>Verify 'Admin' Role Assignment via Head Administrator Dashboard Actions</t>
  </si>
  <si>
    <t>To verify that an Admin account cannot self-register via codes, but is instead officially appointed and assigned tenant-wide permissions internally by the Head role.</t>
  </si>
  <si>
    <t xml:space="preserve">1. The Tenant Admin has generated an invitation code designated for the Admin role.  
2. The registration page is open. </t>
  </si>
  <si>
    <t>1. Fill out all required registration fields and enter the Admin invitation code.
2. Click "Register" and log into the newly created account.</t>
  </si>
  <si>
    <t>invite code: b119f744-ecd2-4884-8576-40b0267c08f7</t>
  </si>
  <si>
    <t>1. Registration is successful.  
2. The user is assigned the Admin role.  
3. The user successfully accesses tenant-wide Admin features (can manage subscriptions, reset passwords, bulk import users)</t>
  </si>
  <si>
    <t>The target user account is upgraded to Tenant-wide Admin, gaining management access over resources, subscriptions, and billing</t>
  </si>
  <si>
    <t>tc_025</t>
  </si>
  <si>
    <t>Verify System Blocks Invitation Code Generation for the 'Head' Role</t>
  </si>
  <si>
    <t>To verify that the system strictly prohibits the Tenant Admin (or any user) from generating an invitation code for the Head role, ensuring that there is always only one Head per organization as per the system design.</t>
  </si>
  <si>
    <t xml:space="preserve">1. A Tenant Admin is logged into the Admin Dashboard.
2. The "Create Invitation Code" panel or endpoint is open. </t>
  </si>
  <si>
    <t xml:space="preserve">1 .Navigate to the "Create Invitation Codes" section in the dashboard.
2. Open the Role Dropdown list to select the designated role for the new code
3. Select the 'Head' role and attempt to click the "Generate Code" button.
</t>
  </si>
  <si>
    <t>1. Selected Role: Head
2. cc945afc-5c01-46b5-b531-c5ae9b4f7504</t>
  </si>
  <si>
    <t>1. The 'Head' role must NOT be present in the dropdown list (Only Teacher, Student and Admin  should be available).
2. [If selectable] The system blocks submission, rejects the request backend-side, and throws an error (e.g., "Cannot generate invitation code for Head role").</t>
  </si>
  <si>
    <t>The system blocks the code generation, no database record is created for a Head invitation, and a restriction message is displayed.</t>
  </si>
  <si>
    <t>1. The 'Head' role is visible and selectable in the dropdown list.
2. The system successfully generates an invitation code linked to the Head role.</t>
  </si>
  <si>
    <t>tc_026</t>
  </si>
  <si>
    <t>Verify Registration Succeeds When Active User Count is Below Tier Limit</t>
  </si>
  <si>
    <t>To verify that the system successfully authenticates and creates a new user account when the current active user count is strictly less than the maximum tier capacity (e.g., 99 active users out of a 100-user limit)</t>
  </si>
  <si>
    <t xml:space="preserve">1. The tenant is active on a plan tier restricted to a maximum of 100 active students/users.
2. The current active user count in the database is less than 100 .
3. The registration page is open.
</t>
  </si>
  <si>
    <t>1. Fill in all mandatory registration fields with valid data using an unused invitation or payment code.
2. Click on the "Register" / "Create Account" button.</t>
  </si>
  <si>
    <t xml:space="preserve">A valid data to regesteration with valid Invitation or payment .
</t>
  </si>
  <si>
    <t xml:space="preserve">1. The account is created successfully.  
2. Total active user count incremented.  </t>
  </si>
  <si>
    <t>The user account is successfully created and can browse courses and exams</t>
  </si>
  <si>
    <t>tc_027</t>
  </si>
  <si>
    <t>Verify Registration is Blocked When Active User Count Reaches Tier Limit</t>
  </si>
  <si>
    <t>To verify that the system strictly blocks any new account provisioning and authentication attempts if the tenant has already met its maximum plan capacity limit (e.g., attempting to register the 101st user when the limit is 100).</t>
  </si>
  <si>
    <t xml:space="preserve">1. The tenant is active on a plan tier restricted to a maximum of 100 active users.  
2. The current active user count in the database is exactly 100 (Full Capacity).  
3. The registration page is open.  </t>
  </si>
  <si>
    <t>1. The runtime check detects that active users (100) have reached the plan limit (100).  
2. Registration is blocked and no record is added to the database.  
3. A descriptive error message is displayed (e.g., "Registration blocked: Institution capacity limit reached. Please contact your administrator."</t>
  </si>
  <si>
    <t>No account is created, the database user count stays at 100/100, and a descriptive plan limit warning/error is shown to the user.</t>
  </si>
  <si>
    <t>The registration was blocked when the active user limit was reached. No account was created, and an appropriate capacity limit message was displayed.</t>
  </si>
  <si>
    <t>tc_028</t>
  </si>
  <si>
    <t>Verify Student Can Successfully Register Using a Valid Invitation Code in an Invitation-Only Tenant</t>
  </si>
  <si>
    <t>To verify that when a specific tenant's setting is configured to work exclusively on an "invitation-only" enrollment model, the system successfully processes the student's registration upon providing a valid, unused invitation code.</t>
  </si>
  <si>
    <t>1. A valid, unused student invitation code has been issued by the Tenant Admin
2. The student registration page for this specific tenant is loaded.</t>
  </si>
  <si>
    <t>1. Fill out all mandatory registration fields (Phone, Username, Password).
2. In the "Code" field, enter the valid, unused Student Invitation Code.
3. Click on the "Create Account" button.</t>
  </si>
  <si>
    <t>1. The system validates the code against the tenant's model configuration.
2. Registration completes successfully without billing intercepts.
3. The user is redirected to the main Student Dashboard</t>
  </si>
  <si>
    <t>The student account is successfully provisioned, the user is redirected to the student dashboard, and the code becomes invalid for future use.</t>
  </si>
  <si>
    <t>tc_029</t>
  </si>
  <si>
    <t>Roles &amp; Permmessions</t>
  </si>
  <si>
    <t>Verify Student Cannot Access Course Creation Interface or Controls</t>
  </si>
  <si>
    <t>To verify that when a user with the 'Student' role logs in, the system completely hides or disables all course creation elements (e.g., "Add Course" buttons, creation links)</t>
  </si>
  <si>
    <t>1. A valid user account with the Student role exists. 
2. The student is successfully logged into the platform.</t>
  </si>
  <si>
    <t>1. Navigate to the main Courses tab
2. Visually inspect the top navigation bar, side menus, and page header for any "Add New Course", "Create Course", or "+" buttons.
3. Attempt to manually force access by typing the exact Admin/Teacher course creation URL into the browser's address bar.</t>
  </si>
  <si>
    <t>Url of create courses :https://mr-ali-magdy.zakerai.org/courses/create</t>
  </si>
  <si>
    <t>1. There are no buttons or links related to creating or adding courses visible to the student.
2. The system intercepts the route, blocks access</t>
  </si>
  <si>
    <t>The student remains restricted to view-only mode, and no course creation interface is rendered</t>
  </si>
  <si>
    <t>tc_030</t>
  </si>
  <si>
    <t>Verify Tenant Admin Cannot Generate Invitation Codes for the 'Admin' Role</t>
  </si>
  <si>
    <t>To verify that the system strictly restricts the Tenant Admin from creating or generating an invitation code for the Admin role, enforcing that Admin privileges can only be granted internally by the Head account through role management.</t>
  </si>
  <si>
    <t>1. A valid user account with the Admin role exists. 
2. The Admin is successfully logged into the platform.</t>
  </si>
  <si>
    <t>1. Navigate to the "Invitation Codes" section inside the Admin Dashboard
2. Open the designated Role Dropdown list to choose which role this invitation code will grant upon registration.</t>
  </si>
  <si>
    <t>1. The 'Admin' role must NOT be listed or available as an option in the dropdown (Only Teacher and Student should be selectable).</t>
  </si>
  <si>
    <t>The system blocks code generation for the Admin role, and the creation action is rejected both on the UI and backend levels.</t>
  </si>
  <si>
    <t>1. Admin can create Admin's codes and Head's codes</t>
  </si>
  <si>
    <t>tc_031</t>
  </si>
  <si>
    <t>Verify Head Can Successfully Create a New Course</t>
  </si>
  <si>
    <t>To verify that a user with the 'Head' role can fully create a course with a title, description, cover image, subject, price, and sections.</t>
  </si>
  <si>
    <t>1. The Head user is successfully logged into the platform.</t>
  </si>
  <si>
    <t>1. Click on the "Create Course" icon on the dashboard.
2. Enter valid course details and click Submit.</t>
  </si>
  <si>
    <t>A valid title, description, cover image, subject, price, and sections.</t>
  </si>
  <si>
    <t>1. The course creation form opens successfully with fields: Title, Description, Cover Image, Subject, Price, and Sections.
2. The backend accepts the request, creates the database record, and a success message appears.</t>
  </si>
  <si>
    <t xml:space="preserve">A new Course was appear in Courses page </t>
  </si>
  <si>
    <t>1. The form opens successfully.
2. Course is created successfully.</t>
  </si>
  <si>
    <t>tc_032</t>
  </si>
  <si>
    <t>Verify Tenant Admin Can Successfully Create a New Course</t>
  </si>
  <si>
    <t>To verify that a user with the 'Admin' role can fully create a course with a title, description, cover image, subject, price, and sections.</t>
  </si>
  <si>
    <t>1. The Admin user is successfully logged into the platform.</t>
  </si>
  <si>
    <t>tc_033</t>
  </si>
  <si>
    <t>Verify teacher Can Successfully Create a New Course</t>
  </si>
  <si>
    <t>To verify that a user with the 'Teacher' role can fully create a course with a title, description, cover image, subject, price, and sections.</t>
  </si>
  <si>
    <t>1. The Teacher user is successfully logged into the platform.</t>
  </si>
  <si>
    <t>1. Course creation is blocked and appear an error message</t>
  </si>
  <si>
    <t>tc_034</t>
  </si>
  <si>
    <t>Verify Course Creation Allows Custom Subject Entry as per Requirements</t>
  </si>
  <si>
    <t>To verify that the "Subject" field during course creation allows authorized users (Admins/Teachers) to specify and create custom subject names dynamically</t>
  </si>
  <si>
    <t>1. An authorized user (Admin or Teacher) is logged in and has opened the "Create Course" form.</t>
  </si>
  <si>
    <t>1. Navigate to the "Subject" field within the course creation form.
2. Attempt to type a new, unique subject name that does not exist in the initial list.</t>
  </si>
  <si>
    <t xml:space="preserve">Subject : Software Testing </t>
  </si>
  <si>
    <t>1. The field should either be a free-text input or a dynamic dropdown that includes an "Add New" or custom creation option.
2. The system accepts the typed input and registers it as the course's subject upon form submission.</t>
  </si>
  <si>
    <t>A custom Subject name is ready in course creation</t>
  </si>
  <si>
    <t>1. The field is a rigid Dropdown menu containing only pre-defined options with no way to type custom text.
2. The dropdown blocks manual keyboard entry and restricts selection only to the old hardcoded list.</t>
  </si>
  <si>
    <t>tc_035</t>
  </si>
  <si>
    <t>Verify "Next" Button Remains Disabled When Mandatory Course Fields are Empty</t>
  </si>
  <si>
    <t>To verify that the "Next" button remains strictly disabled (inactive) and unclickable as long as any of the mandatory course creation fields (e.g., Title, Subject) are left blank.</t>
  </si>
  <si>
    <t>An authorized user (Admin or Teacher) is logged in and has opened the "Create Course" form.</t>
  </si>
  <si>
    <t>1. Open the "Create Course" form and leave Subject and Title field completely empty (Blank).
2. Inspect the visual state of the "Next" button at the bottom of the form.</t>
  </si>
  <si>
    <t>1. The "Next" button must be grayed out / disabled and visually indicates it cannot be clicked.</t>
  </si>
  <si>
    <t xml:space="preserve">User still in course creation page </t>
  </si>
  <si>
    <t>1. The "Next" button is disabled and visually indicates it cannot be clicked.</t>
  </si>
  <si>
    <t>tc_036</t>
  </si>
  <si>
    <t>Verify Section and Video Lesson Can Be Successfully Added and Saved</t>
  </si>
  <si>
    <t>To verify that an authorized user (Admin/Teacher) can successfully add a Section Title, a Video Name, and a valid Video URL</t>
  </si>
  <si>
    <t>1. An Admin or Teacher user is successfully logged into the platform.  
2. Step 1 (Course Details) has been completed and saved.</t>
  </si>
  <si>
    <t>1. enter a valid title in the "Section Title" field.
2. Enter a name for the lesson in the "Video Name" field.
3. Enter a valid video link in the "Video URL" field and click the Save &amp; Continue button.</t>
  </si>
  <si>
    <t>Section title: Test
Video name: Testtt
Url: https://youtu.be/4X-OmBthhgU?si=gh0OpHSfdk9YcSS4</t>
  </si>
  <si>
    <t xml:space="preserve">1. The wizard saves the progress to the database successfully.  
2. The stepper transitions smoothly to Step 3 (Attach Quizzes). </t>
  </si>
  <si>
    <t>User in step 3 and can click Skip Button</t>
  </si>
  <si>
    <t>tc_037</t>
  </si>
  <si>
    <t>Verify Form Submission is Blocked When Section Title is Empty But Video Details Are Filled</t>
  </si>
  <si>
    <t>To verify that the system strictly blocks form progression and throws a validation error if the user attempts to add video details and click "Save &amp; Continue" while leaving the mandatory "Section Title" field blank.</t>
  </si>
  <si>
    <t>1. On Step 2, leave the Section Title field completely empty.
2. Fill in the "Video Name" and a valid "Video URL" below that empty section.
3. Click on the Save &amp; Continue button.</t>
  </si>
  <si>
    <t>Section title: (Blank)
Video name: Testtt
Url: https://youtu.be/4X-OmBthhgU?si=gh0OpHSfdk9YcSS5</t>
  </si>
  <si>
    <t>1. Form submission and transition to Step 3 are strictly blocked.  
2. An inline validation error appears explicitly under the Section Title field</t>
  </si>
  <si>
    <t xml:space="preserve">User still in step 2 in course creation </t>
  </si>
  <si>
    <t>tc_038</t>
  </si>
  <si>
    <t>Verify Enrolled Students Can View and Consume Sections and Ordered Lessons Successfully</t>
  </si>
  <si>
    <t>To verify that a registered student enrolled in a published course can see the created sections and video lessons in the exact order designed by the instructor.</t>
  </si>
  <si>
    <t>1. A course containing saved sections and videos has been fully published.
2. A valid Student account is registered and enrolled in this specific course.</t>
  </si>
  <si>
    <t>1. Log into the platform using the Student credentials and navigate to the enrolled course page.
2. Inspect the course syllabus / curriculum outline on the UI
3. Click on the section to expand it and observe the containing lessons.
4. Click on the video lesson to open the course player interface.</t>
  </si>
  <si>
    <t>1. "Test" appears visibly as the first section.
2. The video "Testtt" is clickable and redirect user to the web video player to open video with url (https://youtu.be/4X-OmBthhgU?si=gh0OpHSfdk9YcSS4)</t>
  </si>
  <si>
    <t>Student show video</t>
  </si>
  <si>
    <t>The student successfully viewed the course section, and the video lesson opened correctly in the web player using the provided URL.</t>
  </si>
  <si>
    <t>tc_039</t>
  </si>
  <si>
    <t>Verify "Video URL" Field Rejects Invalid Formats and Non-URL Strings</t>
  </si>
  <si>
    <t>To verify that the system strictly validates the "Video URL" field, blocking form progression and throwing a validation error if the user inputs a text string that is not a valid URL.</t>
  </si>
  <si>
    <t>The Admin/Teacher has opened Step 2 (Sections &amp; Videos) of the course creation wizard.</t>
  </si>
  <si>
    <t>1. Enter a valid Section Title and Video Name.
2. Enter an invalid URL text string into the Video URL field, then attempt to click Save &amp; Continue.</t>
  </si>
  <si>
    <t>Section title: Test
Video name: Testtt
Url: string</t>
  </si>
  <si>
    <t>1. The form submission/progression is strictly blocked.
2. An explicit validation error appears under the field</t>
  </si>
  <si>
    <t>tc_040</t>
  </si>
  <si>
    <t>Verify Presence of a Dedicated Document/PDF Upload Field Distinct From Video URL</t>
  </si>
  <si>
    <t>To verify that the course creation interface provides a dedicated input or file picker specifically for PDF attachments/links, ensuring full compliance with FR-CRS-03 and avoiding workaround entry in the Video URL field</t>
  </si>
  <si>
    <t>1. Open Step 2 (Sections &amp; Videos) of the course wizard.
2. Inspect the form controls to see if PDF files can be uploaded or linked without reusing the video component</t>
  </si>
  <si>
    <t>1. The page should display a clear, separate section, button, or input field dedicated to "Add Document" or "PDF Attachment"
2. Instructors can upload/link PDFs through an independent document container that applies file-specific UI icons..</t>
  </si>
  <si>
    <t>User can upload any documents</t>
  </si>
  <si>
    <t>1. The only available input fields for lesson content are "Video Name" and "Video URL"
2. Instructors are forced to paste external PDF links into the Video URL field, causing icon mismatch.</t>
  </si>
  <si>
    <t>tc_041</t>
  </si>
  <si>
    <t>Verify "Public" Status Toggle is Visible and Operable During Course Creation</t>
  </si>
  <si>
    <t>To verify that the "Public" visibility toggle switcher is properly rendered on the UI during the initial course creation form (Step 1) so instructors can control publication states.</t>
  </si>
  <si>
    <t>1. An authorized user (Admin/Teacher) is logged in and has clicked on the "Create Course" button to load Step 1.</t>
  </si>
  <si>
    <t>1. Scroll to the bottom of the "Course Details" form (Step 1).
2. Interact with the "Public" toggle by clicking on it to switch its state back and forth.</t>
  </si>
  <si>
    <t>1. The "Active" toggle switch must be clearly visible on the UI directly next to the "Public" toggle.
2. The component is fully responsive, switching its state dynamically (On / Off) and changing its color theme accordingly</t>
  </si>
  <si>
    <t>The form elements remain visible for configuration, and the switch state can be toggled by the user.</t>
  </si>
  <si>
    <t>tc_042</t>
  </si>
  <si>
    <t>Verify Non-Public (Draft) Courses are Completely Hidden and Inaccessible to Students</t>
  </si>
  <si>
    <t>o verify that when a course's "Active" toggle is switched off (set to Draft), the course is completely hidden from the student catalog, and direct link bypass is blocked.</t>
  </si>
  <si>
    <t>1. A course is configured with the "Public" toggle switched OFF.
2. A valid Student account is logged into their student profile portal.</t>
  </si>
  <si>
    <t>1. Log in as a Student and navigate to the public Course Catalog
2. Attempt to manually force access to the course page by directly entering its exact URL path into the browser address bar.</t>
  </si>
  <si>
    <t>Course Name : Test
Course Url: https://mr-ali-magdy.zakerai.org/courses/7</t>
  </si>
  <si>
    <t>1. The student can view public courses, but Secret Test Course MUST NOT appear anywhere in the listings 
2. The system blocks the request on the backend, redirects the student, and displays an explicit "403 Forbidden" or "404 Course Not Found" visibility error.</t>
  </si>
  <si>
    <t>The course remains strictly confidential and isolated on the backend server from any student interactions.</t>
  </si>
  <si>
    <t>1. The student can view public courses, but Secret Test Course isn't appear anywhere in the listings 
2. The system blocks the request on the backend, redirects the student, and displays an explicit "403 Forbidden" or "404 Course Not Found" visibility error.</t>
  </si>
  <si>
    <t>tc_043</t>
  </si>
  <si>
    <t>Verify Draft (Non-Public) Courses are Hidden and Inaccessible to Other Instructors (Non-Owners)</t>
  </si>
  <si>
    <t>To verify that a course with the "Public" toggle turned OFF (Draft state) is strictly isolated and cannot be viewed, edited, or accessed by other teachers on the platform who do not own the course.</t>
  </si>
  <si>
    <t>1. Teacher A (Owner) creates a course named Math Draft and sets the "Public" toggle to OFF.
2. Teacher B (Non-Owner) is registered on the same tenant platform</t>
  </si>
  <si>
    <t>1. Log in with Teacher B (Non-Owner) credentials and navigate to the main Courses Dashboard</t>
  </si>
  <si>
    <t>2 of Teacher accounts
Course name: Math Draft</t>
  </si>
  <si>
    <t>The dashboard loads, but "Math Draft" MUST NOT be visible in Teacher B's course list or catalog.</t>
  </si>
  <si>
    <t>The course remains completely secure and restricted to the owner and upper management (Head/Admin).</t>
  </si>
  <si>
    <t>Math draft is appeared to teacher B's</t>
  </si>
  <si>
    <t>tc_044</t>
  </si>
  <si>
    <t xml:space="preserve">Generate Join Codes by Teacher </t>
  </si>
  <si>
    <t>Verify that a user with the 'Teacher' role can define a count, click "Generate", and successfully create unique enrollment codes via the "Manage Course" panel.</t>
  </si>
  <si>
    <t>1. A user account with the Teacher role is logged in.
2. The teacher owns a published course and has opened the "Manage Course" -&gt; "Generate Join Codes" panel.</t>
  </si>
  <si>
    <t>1. Enter a valid positive integer in the code count field.
2. Click on the green "Generate" button.
3. Click on "View &amp; Download Codes" and filter by "Unused".</t>
  </si>
  <si>
    <t>1. A success notification appears (e.g., "Codes generated successfully").
2. The total count of available codes increases by 5.
3. The newly generated alphanumeric codes appear in the list, showing they are unique and active.</t>
  </si>
  <si>
    <t>New unique code records are stored in the database under this course with an 'Unused' status.</t>
  </si>
  <si>
    <t>The join codes were generated successfully, displayed as unique active codes with an "Unused" status, and were available for viewing and download.</t>
  </si>
  <si>
    <t>tc_045</t>
  </si>
  <si>
    <t xml:space="preserve">Generate Join Codes by Admin </t>
  </si>
  <si>
    <t>Verify that a user with the 'Admin' (or Head) role has full overriding access to generate enrollment codes for any course inside the tenant.</t>
  </si>
  <si>
    <t>1. A user account with the Admin role is logged in.
2. The admin opens the "Manage Course" panel for any active course.</t>
  </si>
  <si>
    <t>1. Navigate to the "Generate Join Codes" container on the UI.
2. Input a specific quantity and click "Generate".</t>
  </si>
  <si>
    <t>1. The module loads and displays all generation tools.
2. The backend processes the request and appends a new unique code token to the course.</t>
  </si>
  <si>
    <t>Enrollment codes are successfully generated and logged under the admin's action history in the database.</t>
  </si>
  <si>
    <t>tc_046</t>
  </si>
  <si>
    <t xml:space="preserve">Student Enrollment via Join Code  </t>
  </si>
  <si>
    <t>Verify that a valid, unused enrollment code generated from successfully bypasses payment/restrictions and registers a student into the course immediately.</t>
  </si>
  <si>
    <t>1. A valid course join code has been generated.
2. A registered Student account is logged in and not yet enrolled in this course.</t>
  </si>
  <si>
    <t>1. Go to the target course landing page as a student, enter the valid code in the enrollment input field, and submit.
2. Click the "Enroll Course" button.
3. Log back in as the Instructor/Admin, open "Manage Course", and check the code logs.</t>
  </si>
  <si>
    <t>Code: 46049e82-1972-4a67-943c-a7d4681d7549</t>
  </si>
  <si>
    <t>1. The code text layout matches validation rules.
2. The enrollment is processed successfully, the student's status changes to "Enrolled", and they are redirected to the curriculum viewer.
3. The status of code  is now explicitly marked as "Used" and tied to that student's username.</t>
  </si>
  <si>
    <t>The student gains full access to the course content, and the code status changes from 'Unused' to 'Used' / 'Redeemed'.</t>
  </si>
  <si>
    <t>The student successfully enrolled in the course using the valid join code, gained access to the course content, and the code status was updated to "Used" and linked to the student's account.</t>
  </si>
  <si>
    <t>tc_047</t>
  </si>
  <si>
    <t>Direct Reuse of an Already Used Join Code (Negative / Security Path)</t>
  </si>
  <si>
    <t>Verify the "uniqueness" constraint by ensuring that once a code is used by one student, it cannot be recycled or reused by another student account.</t>
  </si>
  <si>
    <t>1. A generated code was successfully redeemed.
2. A second, different Student account is logged in.</t>
  </si>
  <si>
    <t>1. Paste the exact same previously redeemed code into the course enrollment field and click submit.
2. Click the "Enroll" button and observe the UI validation.</t>
  </si>
  <si>
    <t>Code: 46049e82-1972-4a67-943c-a7d4681d7550</t>
  </si>
  <si>
    <t>1. The system analyzes the code string parameters.
2. The enrollment operation is strictly blocked.
3. An explicit error message appears (e.g., "This enrollment code has already been used").
4. The student's status remains "Not Enrolled".</t>
  </si>
  <si>
    <t>The second enrollment attempt is blocked, and database constraints protect row integrity.</t>
  </si>
  <si>
    <t>The system rejected the reused join code, displayed an appropriate validation message, and prevented the second student from enrolling in the course.</t>
  </si>
  <si>
    <t>TC_QB_001</t>
  </si>
  <si>
    <t>QB-001</t>
  </si>
  <si>
    <t>Verify Question Bank Page Loads Successfully</t>
  </si>
  <si>
    <t>Verify that the Question Bank page loads correctly with all essential UI elements.</t>
  </si>
  <si>
    <t>Teacher account exists.</t>
  </si>
  <si>
    <t>1. Login as Teacher.
2. Navigate to Question Bank from the sidebar.</t>
  </si>
  <si>
    <t>Valid Teacher Account</t>
  </si>
  <si>
    <t>The Question Bank page loads successfully displaying the search bar, filters, question list, selected questions panel, level panel, and all action buttons without UI issues.</t>
  </si>
  <si>
    <t>The Question Bank interface remains active,  and all navigation controls are functional for the logged-in teacher.</t>
  </si>
  <si>
    <t>The Question Bank page loaded successfully with all essential UI elements (search bar, filters, list, panels, and buttons) displayed correctly without any issues.</t>
  </si>
  <si>
    <t>Mahmoud
Abdalazem</t>
  </si>
  <si>
    <t>TC_QB_002</t>
  </si>
  <si>
    <t>QB-002</t>
  </si>
  <si>
    <t>Verify Search Using Existing Keyword</t>
  </si>
  <si>
    <t>Verify that searching using an existing keyword returns matching questions only.</t>
  </si>
  <si>
    <t>Matching questions exist.</t>
  </si>
  <si>
    <t>1- Log in as a Teacher.
2- Open the Question Bank page.
3- Type an existing keyword in the Search field (e.g., "العلاقات").
4- Click the Search button.
5- Observe the displayed questions.</t>
  </si>
  <si>
    <t>Example: "العلاقات"</t>
  </si>
  <si>
    <t>Only questions containing the entered keyword are displayed.</t>
  </si>
  <si>
    <t>The active view is filtered by the search keyword, and the search field retains the entered keyword.</t>
  </si>
  <si>
    <t>The search functionality works as expected; the system successfully filtered and displayed only the questions containing the entered keyword.</t>
  </si>
  <si>
    <t>TC_QB_003</t>
  </si>
  <si>
    <t>QB-003</t>
  </si>
  <si>
    <t>Verify Search Using Non-Existing Keyword</t>
  </si>
  <si>
    <t>Verify the system behavior when searching for a keyword that does not exist.</t>
  </si>
  <si>
    <t>None</t>
  </si>
  <si>
    <t>1- Log in as a Teacher.
2- Open the Question Bank page.
3- Type a keyword that does not exist (e.g., "XYZ123456").
4- Click the Search button.
5- Observe the displayed result.</t>
  </si>
  <si>
    <t>XYZ123456</t>
  </si>
  <si>
    <t>No questions are displayed and an appropriate "No Results Found" message appears without any system errors.</t>
  </si>
  <si>
    <t>The system state displays the empty state view while keeping the invalid keyword inside the search field.</t>
  </si>
  <si>
    <t>No questions were displayed, and the system correctly showed the empty state message: "لم يتم العثور على أسئلة لا توجد بيانات" without any errors.</t>
  </si>
  <si>
    <t>Medium</t>
  </si>
  <si>
    <t>TC_QB_004</t>
  </si>
  <si>
    <t>QB-004</t>
  </si>
  <si>
    <t>Verify Empty Search</t>
  </si>
  <si>
    <t>Verify system behavior when performing search with an empty search field.</t>
  </si>
  <si>
    <t>Question Bank page opened.</t>
  </si>
  <si>
    <t>1- Log in as a Teacher.
2- Open the Question Bank page.
3- Leave the Search field empty.
4- Click the Search button.
5- Observe the displayed questions.</t>
  </si>
  <si>
    <t>Empty Search</t>
  </si>
  <si>
    <t>The system displays all available questions or ignores the search without generating an error.</t>
  </si>
  <si>
    <t>The system maintains its pre-search state with all questions displayed and the search field empty.</t>
  </si>
  <si>
    <t>The system ignored the empty search action; no page refresh occurred, and the search button was unresponsive.</t>
  </si>
  <si>
    <t>TC_QB_005</t>
  </si>
  <si>
    <t>QB-005</t>
  </si>
  <si>
    <t>Verify Search Using Spaces Only</t>
  </si>
  <si>
    <t>Verify the system handles whitespace-only search correctly.</t>
  </si>
  <si>
    <t>1- Log in as a Teacher.
2- Open the Question Bank page.
3- Enter only spaces in the Search field.
4- Click the Search button.
5- Observe the displayed result.</t>
  </si>
  <si>
    <t>" "</t>
  </si>
  <si>
    <t>Spaces are trimmed automatically or treated as an empty search without causing unexpected behavior.</t>
  </si>
  <si>
    <t>The system is forced into an empty state view due to the untrimmed spaces in the active search query.</t>
  </si>
  <si>
    <t>The system treated the whitespace-only input as a search query, resulting in an empty state with the message: "لم يتم العثور على أسئلة لا توجد بيانات".</t>
  </si>
  <si>
    <t>TC_QB_006</t>
  </si>
  <si>
    <t>QB-006</t>
  </si>
  <si>
    <t>Verify Question Type Filter</t>
  </si>
  <si>
    <t>Verify filtering questions by Question Type.</t>
  </si>
  <si>
    <t>Multiple question types exist.</t>
  </si>
  <si>
    <t>1- Log in as a Teacher.
2- Open the Question Bank page.
3- Open the Question Type filter.
4- Select Multiple Choice (MCQ).
5- Apply the filter if needed.
6- Observe the displayed questions.</t>
  </si>
  <si>
    <t>MCQ</t>
  </si>
  <si>
    <t>Only Multiple Choice questions are displayed.</t>
  </si>
  <si>
    <t>The question list state is updated to display only MCQ items, and the filter indicator shows "MCQ" as active.</t>
  </si>
  <si>
    <t>The Question Type filter applied successfully, and the list instantly updated to display only Multiple Choice Questions (MCQs).</t>
  </si>
  <si>
    <t>TC_QB_007</t>
  </si>
  <si>
    <t>QB-007</t>
  </si>
  <si>
    <t>Verify Difficulty Filter</t>
  </si>
  <si>
    <t>Verify filtering questions by Difficulty Level.</t>
  </si>
  <si>
    <t>Easy questions exist.</t>
  </si>
  <si>
    <t>1- Log in as a Teacher.
2- Open the Question Bank page.
3- Open the Difficulty Level filter.
4- Select Easy.
5- Apply the filter if needed.
6- Observe the displayed questions.</t>
  </si>
  <si>
    <t>Easy</t>
  </si>
  <si>
    <t>Only Easy questions are displayed and the selected filter remains visible.</t>
  </si>
  <si>
    <t>The question list state is updated to display only Easy items, and the filter indicator shows "Easy" as active.</t>
  </si>
  <si>
    <t>The Difficulty Level filter functions correctly; only "Easy" questions are displayed, and the filter selection remains visible.</t>
  </si>
  <si>
    <t>TC_QB_008</t>
  </si>
  <si>
    <t>QB-008</t>
  </si>
  <si>
    <t>Verify Combined Filters</t>
  </si>
  <si>
    <t>Verify that multiple filters work together correctly.</t>
  </si>
  <si>
    <t>1- Log in as a Teacher.
2- Open the Question Bank page.
3- Select MCQ from the Question Type filter.
4- Select Easy from the Difficulty filter.
5- Apply the selected filters.
6- Observe the displayed questions.</t>
  </si>
  <si>
    <t>MCQ + Easy</t>
  </si>
  <si>
    <t>Only questions matching both selected filters are displayed.</t>
  </si>
  <si>
    <t>The active question list state is strictly constrained to items that simultaneously satisfy both MCQ and Easy criteria.</t>
  </si>
  <si>
    <t>Combined filters work seamlessly; the system successfully displayed only the questions that are both "MCQ" and "Easy".</t>
  </si>
  <si>
    <t>TC_QB_009</t>
  </si>
  <si>
    <t>QB-009</t>
  </si>
  <si>
    <t>Verify Filter Persistence After Search</t>
  </si>
  <si>
    <t>Verify that applied filters remain active after performing a search.</t>
  </si>
  <si>
    <t>Filters already applied.</t>
  </si>
  <si>
    <t>1- Log in as a Teacher.
2- Open the Question Bank page.
3- Select any available filter.
4- Type a keyword in the Search field.
5- Click the Search button.
6- Observe the displayed questions and the selected filter.</t>
  </si>
  <si>
    <t>Easy + Keyword</t>
  </si>
  <si>
    <t>Search results respect the selected filters and filter values remain unchanged.</t>
  </si>
  <si>
    <t>The system session maintains the active filter criteria combined with the new search state concurrently.</t>
  </si>
  <si>
    <t>Filter persistence is verified; the active filters remained applied and unchanged after executing the search query.</t>
  </si>
  <si>
    <t>TC_QB_010</t>
  </si>
  <si>
    <t>QB-010</t>
  </si>
  <si>
    <t>Verify Clear Filters Functionality (If Available)</t>
  </si>
  <si>
    <t>Verify that clicking Clear Filters / Reset restores the default Question Bank view.</t>
  </si>
  <si>
    <t>Filters are applied.</t>
  </si>
  <si>
    <t>1- Log in as a Teacher.
2- Open the Question Bank page.
3- Apply one or more filters.
4- Click the Clear Filters or Reset button (if available).
5- Observe the displayed questions.</t>
  </si>
  <si>
    <t>Reset Filters</t>
  </si>
  <si>
    <t>All filters are cleared and the complete Question Bank list is displayed again. If no Reset button exists, document as Not Applicable.</t>
  </si>
  <si>
    <t>The system state resets to the default view, clearing all active filters and displaying the complete question list.</t>
  </si>
  <si>
    <t>Its small buttom worked perfect and, manually reverting the filters to their default option successfully restores the complete Question Bank view.</t>
  </si>
  <si>
    <t>TC_QB_011</t>
  </si>
  <si>
    <t>QB-011</t>
  </si>
  <si>
    <t>Verify View Details Opens Correctly</t>
  </si>
  <si>
    <t>Verify that clicking View Details opens the complete question information.</t>
  </si>
  <si>
    <t>At least one question exists.</t>
  </si>
  <si>
    <t>1- Log in as a Teacher.
2- Open the Question Bank page.
3- Locate any question in the list.
4- Click the View Details button.
5- Observe the opened question details.</t>
  </si>
  <si>
    <t>Existing Question</t>
  </si>
  <si>
    <t>The Question Details page opens displaying all available information without errors.</t>
  </si>
  <si>
    <t>The application redirects the user to the Question Details view, leaving the main Question Bank state running in the background.</t>
  </si>
  <si>
    <t>The page opens, but there is a major UI/Localization issue. The headers questions.back and questions.copyLink are displayed as raw keys and stay sticky on scroll, overlapping and blocking the view of the main question header.</t>
  </si>
  <si>
    <t>TC_QB_012</t>
  </si>
  <si>
    <t>QB-012</t>
  </si>
  <si>
    <t>Verify Back Navigation from Question Details</t>
  </si>
  <si>
    <t>Verify returning from Question Details preserves the previous Question Bank state.</t>
  </si>
  <si>
    <t>Details page opened.</t>
  </si>
  <si>
    <t>1- Log in as a Teacher.
2- Open the Question Bank page.
3- Click View Details for any question.
4- Return to the previous page using the Back button.
5- Observe the Question Bank page.</t>
  </si>
  <si>
    <t>User returns to the Question Bank with search results, filters, and selected questions preserved.</t>
  </si>
  <si>
    <t>The session successfully restores and retains the exact state of filters, search results, and selections upon return.</t>
  </si>
  <si>
    <t>Tested successfully. Returning from the question details page preserves the entire previous state of the Question Bank, including filters, search queries, and selections.</t>
  </si>
  <si>
    <t>TC_QB_013</t>
  </si>
  <si>
    <t>QB-013</t>
  </si>
  <si>
    <t>Verify Solve Question Opens Successfully</t>
  </si>
  <si>
    <t>Verify that clicking Solve Question opens the question solving interface correctly.</t>
  </si>
  <si>
    <t>1- Log in as a Teacher.
2- Open the Question Bank page.
3- Locate any question.
4- Click the Solve Question button.
5- Observe the opened solving page.</t>
  </si>
  <si>
    <t>The Solve Question page opens successfully without affecting the original question data.</t>
  </si>
  <si>
    <t>The system inappropriately triggers an isolated exam creation lifecycle in the background instead of a direct preview state.</t>
  </si>
  <si>
    <t>Clicking "Solve Question" unexpectedly creates an isolated exam in the Exams page with action buttons (Edit, Start, View Submissions, Delete). Clicking "Start" then "Answer" opens it as a full exam interface instead of a direct preview/solving mode.</t>
  </si>
  <si>
    <t>TC_QB_014</t>
  </si>
  <si>
    <t>QB-014</t>
  </si>
  <si>
    <t>Verify Returning from Solve Question Preserves State</t>
  </si>
  <si>
    <t>Verify that returning from Solve Question keeps all previous selections and filters.</t>
  </si>
  <si>
    <t>Solve Question page opened.</t>
  </si>
  <si>
    <t>1- Log in as a Teacher.
2- Open the Question Bank page.
3- Click the Solve Question button for any question.
4- Return to the Question Bank page.
5- Observe the page after returning.</t>
  </si>
  <si>
    <t>Previously selected questions and applied filters remain unchanged.</t>
  </si>
  <si>
    <t>The previous session state (including applied filters and active selections) is completely lost/wiped out.</t>
  </si>
  <si>
    <t>Due to the workflow redirection to the Exams page, there is no direct back button. Navigating back manually via the sidebar "Question Bank" resets the page entirely, clearing all previously applied filters and selected questions.</t>
  </si>
  <si>
    <t>TC_QB_015</t>
  </si>
  <si>
    <t>QB-015</t>
  </si>
  <si>
    <t>Verify Adding a Single Question</t>
  </si>
  <si>
    <t>Verify that a Teacher can add one question to the Selected Questions panel.</t>
  </si>
  <si>
    <t>Question exists.</t>
  </si>
  <si>
    <t>1- Log in as a Teacher.
2- Open the Question Bank page.
3- Locate any question in the list.
4- Click the (+) Add button beside the question.
5- Observe the Selected Questions section.
6- Observe the selected questions counter.</t>
  </si>
  <si>
    <t>One Question</t>
  </si>
  <si>
    <t>The selected question appears in the Selected Questions panel, and the counter increases to 1.</t>
  </si>
  <si>
    <t>The Selected Questions list contains 1 item, and the UI selection counter updates to state "1".</t>
  </si>
  <si>
    <t>The question is successfully added to the selection list, and the selected questions counter increments correctly to 1.</t>
  </si>
  <si>
    <t>TC_QB_016</t>
  </si>
  <si>
    <t>QB-016</t>
  </si>
  <si>
    <t>Verify Adding Multiple Questions</t>
  </si>
  <si>
    <t>Verify that multiple questions can be selected successfully.</t>
  </si>
  <si>
    <t>At least two questions exist.</t>
  </si>
  <si>
    <t>1- Log in as a Teacher.
2- Open the Question Bank page.
3- Click the (+) Add button for the first question.
4- Click the (+) Add button for another question.
5- Observe the Selected Questions section.
6- Observe the selected questions counter.</t>
  </si>
  <si>
    <t>Two Questions</t>
  </si>
  <si>
    <t>All selected questions appear in the Selected Questions panel and the counter updates correctly.</t>
  </si>
  <si>
    <t>The Selected Questions list contains the chosen items sequentially, and the UI counter reflects the exact total count.</t>
  </si>
  <si>
    <t>Multiple questions can be added seamlessly. The selected panel updates correctly, and the counter displays the exact number of selected items.</t>
  </si>
  <si>
    <t>TC_QB_017</t>
  </si>
  <si>
    <t>QB-017</t>
  </si>
  <si>
    <t>Verify Duplicate Question Selection Is Prevented</t>
  </si>
  <si>
    <t>Verify that the same question cannot be selected more than once.</t>
  </si>
  <si>
    <t>One question already selected.</t>
  </si>
  <si>
    <t>1- Log in as a Teacher.
2- Open the Question Bank page.
3- Add any question to the Selected Questions section.
4- Try to add the same question again.
5- Observe the Selected Questions section.
6- Observe the selected questions counter.</t>
  </si>
  <si>
    <t>Same Question</t>
  </si>
  <si>
    <t>The question is not duplicated and the selected questions counter remains unchanged.</t>
  </si>
  <si>
    <t>The question selection state remains unique (no duplication), and the UI counter value stays unchanged.</t>
  </si>
  <si>
    <t xml:space="preserve">Duplication is prevented successfully; once the question is added, the (+) button changes into a remove/delete icon, preventing the user from adding it again. </t>
  </si>
  <si>
    <t>TC_QB_018</t>
  </si>
  <si>
    <t>QB-018</t>
  </si>
  <si>
    <t>Verify Rapid Multiple Clicks on Add Button</t>
  </si>
  <si>
    <t>Verify system behavior when clicking the + Add button repeatedly in a short time.</t>
  </si>
  <si>
    <t>1- Log in as a Teacher.
2- Open the Question Bank page.
3- Locate any question.
4- Click the (+) Add button several times quickly.
5- Observe the Selected Questions section.
6- Observe the selected questions counter.</t>
  </si>
  <si>
    <t>Multiple Rapid Clicks</t>
  </si>
  <si>
    <t>Only one instance of the question is added, and no duplicate entries or UI issues occur.</t>
  </si>
  <si>
    <t>The selection state enters an unstable loop, repeatedly adding and removing the item due to unhandled click concurrency.</t>
  </si>
  <si>
    <t>Rapid multiple clicks cause an unstable UI behavior where the question is repeatedly added and removed in sequence, instead of restricting the action to a single stable state.</t>
  </si>
  <si>
    <t>TC_QB_019</t>
  </si>
  <si>
    <t>QB-019</t>
  </si>
  <si>
    <t>Verify Removing a Selected Question</t>
  </si>
  <si>
    <t>Verify that a selected question can be removed successfully.</t>
  </si>
  <si>
    <t>At least one question selected.</t>
  </si>
  <si>
    <t>1- Log in as a Teacher.
2- Open the Question Bank page.
3- Add one or more questions.
4- Go to the Selected Questions section.
5- Click the Remove/Delete button for one selected question.
6- Observe the Selected Questions section.</t>
  </si>
  <si>
    <t>Selected Question</t>
  </si>
  <si>
    <t>The selected question is removed successfully, and the selected questions counter decreases accordingly.</t>
  </si>
  <si>
    <t>The target question is removed from the selection panel, and the selection counter state decreases by 1.</t>
  </si>
  <si>
    <t>There is no direct "Remove/Delete" button inside the Selected Questions panel as expected. However, the question can only be removed by scrolling back to the main list and clicking the delete icon that replaced the (+) button.</t>
  </si>
  <si>
    <t>TC_QB_020</t>
  </si>
  <si>
    <t>QB-020</t>
  </si>
  <si>
    <t>Verify Removing the Last Selected Question</t>
  </si>
  <si>
    <t>Verify system behavior after removing the final selected question.</t>
  </si>
  <si>
    <t>Exactly one question selected.</t>
  </si>
  <si>
    <t>1- Log in as a Teacher.
2- Open the Question Bank page.
3- Add only one question.
4- Go to the Selected Questions section.
5- Remove the selected question.
6- Observe the selected questions counter.
7- Observe the Create Exam button.</t>
  </si>
  <si>
    <t>Last Selected Question</t>
  </si>
  <si>
    <t>The Selected Questions counter returns to 0, the panel becomes empty, and the Create Exam button becomes disabled (or behaves according to system rules).</t>
  </si>
  <si>
    <t>The selection panel state becomes completely empty, the counter resets to 0, and the "Create Exam" button state changes to disabled.</t>
  </si>
  <si>
    <t>Removing the last selected question updates the counter correctly back to 0, clears the selection panel, and the "Create Exam" button updates according to system validation rules.</t>
  </si>
  <si>
    <t>TC_QB_021</t>
  </si>
  <si>
    <t>QB-021</t>
  </si>
  <si>
    <t>Verify Create Exam Button Is Disabled with No Selected Questions</t>
  </si>
  <si>
    <t>Verify that the Create Exam button cannot be used when no questions are selected.</t>
  </si>
  <si>
    <t>Ensure no questions are selected in the Question Bank before attempting to create an exam.</t>
  </si>
  <si>
    <t>1- Log in as a Teacher
.2- Open the Question Bank page.
3- Make sure no questions are selected.
4- Locate the Create Exam button.
5- Try to click the button if it is enabled.6- Observe the button behavior.</t>
  </si>
  <si>
    <t>No selected questions</t>
  </si>
  <si>
    <t>The Create Exam button is disabled or the system prevents creating an exam until at least one question is selected.</t>
  </si>
  <si>
    <t>The "Create Exam" button remains locked in a disabled/unresponsive state until the selection state changes.</t>
  </si>
  <si>
    <t>Verified. The "Create Exam" button is completely disabled and unresponsive when no questions are selected.</t>
  </si>
  <si>
    <t>TC_QB_022</t>
  </si>
  <si>
    <t>QB-022</t>
  </si>
  <si>
    <t>Verify Create Exam Button Becomes Enabled After Selecting Questions</t>
  </si>
  <si>
    <t>Verify that the Create Exam button becomes available after selecting one or more questions.</t>
  </si>
  <si>
    <t>At least one question is available.</t>
  </si>
  <si>
    <t>1- Log in as a Teacher.
2- Open the Question Bank page.
3- Select one question using the (+) Add button.
4- Locate the Create Exam button.
5- Observe the button state.</t>
  </si>
  <si>
    <t>One selected question</t>
  </si>
  <si>
    <t>The Create Exam button becomes enabled after selecting at least one question.</t>
  </si>
  <si>
    <t>The "Create Exam" button changes its UI state to enabled and becomes fully interactive.</t>
  </si>
  <si>
    <t>Confirmed. The "Create Exam" button instantly becomes enabled and clickable as soon as at least one question is added to the selection.</t>
  </si>
  <si>
    <t>TC_QB_023</t>
  </si>
  <si>
    <t>QB-023</t>
  </si>
  <si>
    <t>Verify Selected Questions Are Transferred to Exam Creation Page</t>
  </si>
  <si>
    <t>Verify that all selected questions are transferred correctly to the Exam Creation page.</t>
  </si>
  <si>
    <t>At least two questions are selected.</t>
  </si>
  <si>
    <t>1- Log in as a Teacher.
2- Open the Question Bank page.
3- Select two or more questions.
4- Click the Create Exam button.
5- Observe the opened Exam Creation page.
6- Check the list of selected questions.</t>
  </si>
  <si>
    <t>Multiple selected questions</t>
  </si>
  <si>
    <t>All selected questions appear correctly in the Exam Creation page without missing or duplicated questions.</t>
  </si>
  <si>
    <t>The application initiates a redirection state to the Exam Creation form with all selected data payload successfully cached.</t>
  </si>
  <si>
    <t>All selected questions are successfully and correctly transferred to the Exam Creation page with no missing data or duplication.</t>
  </si>
  <si>
    <t>TC_QB_024</t>
  </si>
  <si>
    <t>QB-024</t>
  </si>
  <si>
    <t>Verify Selected Questions Order Is Preserved</t>
  </si>
  <si>
    <t>Verify that selected questions appear in the same order after moving to Exam Creation.</t>
  </si>
  <si>
    <t>Multiple questions selected.</t>
  </si>
  <si>
    <t>1- Log in as a Teacher.
2- Open the Question Bank page.
3- Select several questions in a specific order.
4- Click Create Exam.
5- Observe the order of questions on the Exam Creation page.</t>
  </si>
  <si>
    <t>Q1 → Q3 → Q5</t>
  </si>
  <si>
    <t>The selected questions appear in the same order they were selected unless the system specifies otherwise.</t>
  </si>
  <si>
    <t>The exact chronological indexing/order of the selected questions is preserved on the loaded Exam Creation form.</t>
  </si>
  <si>
    <t>The original selection order of the questions is perfectly preserved when navigating to the Exam Creation page.</t>
  </si>
  <si>
    <t>TC_QB_025</t>
  </si>
  <si>
    <t>QB-025</t>
  </si>
  <si>
    <t>Verify Total Marks Are Calculated from Selected Questions</t>
  </si>
  <si>
    <t>Verify that the total exam score is calculated automatically based on the selected questions.</t>
  </si>
  <si>
    <t>Questions with different marks are available.</t>
  </si>
  <si>
    <t>1- Log in as a Teacher.
2- Open the Question Bank page.
3- Select multiple questions with different point values.
4- Click Create Exam.
5- Observe the displayed total marks.</t>
  </si>
  <si>
    <t>Questions with different marks</t>
  </si>
  <si>
    <t>The displayed total marks equal the sum of the selected questions' marks.</t>
  </si>
  <si>
    <t>The Total Marks indicator state updates dynamically to display the calculated mathematical sum of the selected questions.</t>
  </si>
  <si>
    <t>The total exam score is calculated dynamically and automatically matches the sum of the marks allocated to each selected question.</t>
  </si>
  <si>
    <t>TC_QB_026</t>
  </si>
  <si>
    <t>QB-026</t>
  </si>
  <si>
    <t>Verify Selected Questions Remain After Applying Filters</t>
  </si>
  <si>
    <t>Verify that selected questions remain selected after applying filters.</t>
  </si>
  <si>
    <t>1- Log in as a Teacher.
2- Open the Question Bank page.
3- Select one or more questions.
4- Apply any available filter.
5- Observe the Selected Questions section.</t>
  </si>
  <si>
    <t>Apply any filter</t>
  </si>
  <si>
    <t>Previously selected questions remain selected after filtering the question list.</t>
  </si>
  <si>
    <t>The selected questions panel and counter state remain completely untouched and unaffected by the list filtering.</t>
  </si>
  <si>
    <t>State persistence verified; previously selected questions remain active in the selection panel after applying list filters.</t>
  </si>
  <si>
    <t>TC_QB_027</t>
  </si>
  <si>
    <t>QB-027</t>
  </si>
  <si>
    <t>Verify Selected Questions Remain After Searching</t>
  </si>
  <si>
    <t>Verify that selected questions remain selected after performing a search.</t>
  </si>
  <si>
    <t>1- Log in as a Teacher.
2- Open the Question Bank page.
3- Select one or more questions.
4- Enter any keyword in the Search field.
5- Click the Search button.
6- Observe the Selected Questions section.</t>
  </si>
  <si>
    <t>Search keyword</t>
  </si>
  <si>
    <t>Previously selected questions remain selected after the search results are displayed.</t>
  </si>
  <si>
    <t>The selected questions panel and counter state remain completely untouched and unaffected by the list search execution.</t>
  </si>
  <si>
    <t>Selected questions are preserved successfully in the panel and the counter remains unchanged after executing a search query.</t>
  </si>
  <si>
    <t>TC_QB_028</t>
  </si>
  <si>
    <t>QB-028</t>
  </si>
  <si>
    <t>Verify View Details Does Not Affect Selected Questions</t>
  </si>
  <si>
    <t>Verify that opening Question Details does not remove selected questions.</t>
  </si>
  <si>
    <t>1- Log in as a Teacher.
2- Open the Question Bank page.
3- Select one question.
4- Click View Details for another question.
5- Return to the Question Bank page.
6- Observe the Selected Questions section.</t>
  </si>
  <si>
    <t>Selected question</t>
  </si>
  <si>
    <t>Previously selected questions remain selected after returning from the Question Details page.</t>
  </si>
  <si>
    <t>The active selection state and panel contents are completely preserved during the detail view invocation and return.</t>
  </si>
  <si>
    <t>Opening and returning from the Question Details page does not clear or affect the currently selected questions.</t>
  </si>
  <si>
    <t>TC_QB_029</t>
  </si>
  <si>
    <t>QB-029</t>
  </si>
  <si>
    <t>Verify Solve Question Does Not Affect Selected Questions</t>
  </si>
  <si>
    <t>Verify that opening the Solve Question page does not clear the selected questions.</t>
  </si>
  <si>
    <t>1- Log in as a Teacher.
2- Open the Question Bank page.
3- Select one question.
4- Click Solve Question for another question.
5- Return to the Question Bank page.
6- Observe the Selected Questions section.</t>
  </si>
  <si>
    <t>Previously selected questions remain selected after returning from the Solve Question page.</t>
  </si>
  <si>
    <t>The active selection state and panel contents are preserved when using the browser's native historical navigation state.</t>
  </si>
  <si>
    <t>Although there is no custom app back button, using the browser's back navigation safely returns the user to the Question Bank with all selected questions and filters intact.</t>
  </si>
  <si>
    <t>TC_QB_030</t>
  </si>
  <si>
    <t>QB-030</t>
  </si>
  <si>
    <t>Verify Refreshing the Browser After Selecting Questions</t>
  </si>
  <si>
    <t>Verify the system behavior after refreshing the browser while questions are selected.</t>
  </si>
  <si>
    <t>1- Log in as a Teacher.
2- Open the Question Bank page.
3- Select one or more questions.
4- Refresh the browser page.
5- Observe the Selected Questions section.
6- Observe the Create Exam button.</t>
  </si>
  <si>
    <t>Browser Refresh</t>
  </si>
  <si>
    <t>The system preserves or clears the selected questions according to the intended system behavior without causing errors or inconsistent data.</t>
  </si>
  <si>
    <t>The local component state is completely cleared, resetting the session to the default Question Bank state.</t>
  </si>
  <si>
    <t>Refreshing the browser resets the page state and clears the selected questions as per standard session behavior, without causing any system errors or broken UI data.</t>
  </si>
  <si>
    <t>TC_QB_031</t>
  </si>
  <si>
    <t>QB-031</t>
  </si>
  <si>
    <t>Verify Browser Back Preserves Question Bank State</t>
  </si>
  <si>
    <t>Verify that using the browser Back button returns to the Question Bank without losing the current state.</t>
  </si>
  <si>
    <t>Return to the Question Bank after opening another page using the browser Back button.</t>
  </si>
  <si>
    <t>1- Log in as a Teacher.
2- Open the Question Bank page.
3- Select one or more questions.
4- Open the View Details page for any question.
5- Click the browser Back button.
6- Observe the Question Bank page.</t>
  </si>
  <si>
    <t>Browser Back</t>
  </si>
  <si>
    <t>The Question Bank page opens with the previously selected questions, filters, and search results still available.</t>
  </si>
  <si>
    <t>The browser historical state successfully re-renders the previous UI state with all active filters and selections intact.</t>
  </si>
  <si>
    <t>Verified successfully; using the browser's Back button restores the Question Bank page while perfectly preserving all previously applied filters, search results, and selected questions.</t>
  </si>
  <si>
    <t>TC_QB_032</t>
  </si>
  <si>
    <t>QB-032</t>
  </si>
  <si>
    <t>Verify Question Counter Updates Correctly</t>
  </si>
  <si>
    <t>Verify that the selected questions counter updates correctly after adding and removing questions.</t>
  </si>
  <si>
    <t>Multiple questions are available.</t>
  </si>
  <si>
    <t>1- Log in as a Teacher.
2- Open the Question Bank page.
3- Add one question and note the counter value.
4- Add another question.
5- Remove one selected question.
6- Observe the selected questions counter after each action.</t>
  </si>
  <si>
    <t>Multiple Questions</t>
  </si>
  <si>
    <t>The selected questions counter always displays the correct number of selected questions.</t>
  </si>
  <si>
    <t>The internal counter state synchronizes immediately with the actual item count inside the selected questions data array.</t>
  </si>
  <si>
    <t>The selected questions counter is fully dynamic and accurate; it updates instantly and displays the correct number after each add and remove action.</t>
  </si>
  <si>
    <t>TC_QB_033</t>
  </si>
  <si>
    <t>QB-033</t>
  </si>
  <si>
    <t>Verify Create Exam Opens Exam Creation Form</t>
  </si>
  <si>
    <t>Verify that clicking Create Exam opens the Exam Creation form successfully.</t>
  </si>
  <si>
    <t>At least one question is selected.</t>
  </si>
  <si>
    <t>1- Log in as a Teacher.
2- Open the Question Bank page.
3- Select one or more questions.
4- Click the Create Exam button.
5- Observe the opened page.</t>
  </si>
  <si>
    <t>Selected Questions</t>
  </si>
  <si>
    <t>The Exam Creation form opens successfully with the selected questions ready to be used in the new exam.</t>
  </si>
  <si>
    <t>The application active view shifts to the Exam Creation interface, pre-loading all questions passed from the selection state.</t>
  </si>
  <si>
    <t>Clicking the "Create Exam" button successfully opens the Exam Creation form, and all selected questions are pre-loaded and ready for use.</t>
  </si>
  <si>
    <t>TC_QB_034</t>
  </si>
  <si>
    <t>QB-034</t>
  </si>
  <si>
    <t>Verify Selected Questions Are Not Duplicated in Exam Creation</t>
  </si>
  <si>
    <t>Verify that selected questions appear only once in the Exam Creation page.</t>
  </si>
  <si>
    <t>1- Log in as a Teacher.
2- Open the Question Bank page.
3- Select several questions.
4- Click the Create Exam button.
5- Review the questions displayed in the Exam Creation page.</t>
  </si>
  <si>
    <t>Multiple Selected Questions</t>
  </si>
  <si>
    <t>Every selected question appears only once and no duplicate questions are displayed.</t>
  </si>
  <si>
    <t>The Exam Creation data array contains unique instances of the selected questions without any redundancy.</t>
  </si>
  <si>
    <t>Confirmed. Every selected question is transferred and displayed exactly once on the Exam Creation page with zero duplication.</t>
  </si>
  <si>
    <t>TC_QB_035</t>
  </si>
  <si>
    <t>QB-035</t>
  </si>
  <si>
    <t>Verify Question Selection Before Creating an Exam</t>
  </si>
  <si>
    <t>Verify the complete flow of selecting questions and starting exam creation.</t>
  </si>
  <si>
    <t>Questions are available in the Question Bank.</t>
  </si>
  <si>
    <t>1- Log in as a Teacher.
2- Open the Question Bank page.
3- Search or filter the questions if needed.
4- Select multiple questions from the list.
5- Review the Selected Questions section.
6- Click the Create Exam button.
7- Observe the opened Exam Creation form and the transferred questions.</t>
  </si>
  <si>
    <t>The selected questions are transferred successfully to the Exam Creation form, allowing the Teacher to continue creating the exam without any missing or duplicated questions.</t>
  </si>
  <si>
    <t>The entire flow pipeline successfully concludes with the user positioned on the Exam Creation page with valid pre-loaded data.</t>
  </si>
  <si>
    <t>The complete End-to-End flow works flawlessly; searching, filtering, selecting multiple questions, and transitioning to the Exam Creation form is completed successfully without any missing data or system errors.</t>
  </si>
  <si>
    <t>TC_QB_036</t>
  </si>
  <si>
    <t>QB-036</t>
  </si>
  <si>
    <t>Verify Selected Questions Panel Supports Scrolling</t>
  </si>
  <si>
    <t>Verify that the Selected Questions panel supports scrolling when more questions are added than can fit in the visible area.</t>
  </si>
  <si>
    <t>Add multiple questions until the Selected Questions panel exceeds its visible height.</t>
  </si>
  <si>
    <t>1- Log in as a Teacher.
2- Open the Question Bank page.
3- Add at least 5 or more questions using the (+) Add button.
4- Observe the Selected Questions panel.
5- Try to scroll inside the panel to view all selected questions.</t>
  </si>
  <si>
    <t>5+ Selected Questions</t>
  </si>
  <si>
    <t>A vertical scrollbar appears (or the panel expands as designed), allowing the user to access all selected questions. No selected question should become inaccessible.</t>
  </si>
  <si>
    <t>The UI layout becomes bounded and visually broken, rendering any subsequent selections completely inaccessible to the user.</t>
  </si>
  <si>
    <t>After selecting more than four questions, the additional questions become inaccessible because the Selected Questions panel does not provide a scrollbar.</t>
  </si>
  <si>
    <t>TC_QB_037</t>
  </si>
  <si>
    <t>QB-037</t>
  </si>
  <si>
    <t>Verify Long Question Text Displays Correctly in Selected Questions Panel</t>
  </si>
  <si>
    <t>Verify that long question text is displayed properly in the Selected Questions panel without affecting the UI layout.</t>
  </si>
  <si>
    <t>Add a question with a long text to the Selected Questions panel and observe its appearance.</t>
  </si>
  <si>
    <t>1- Log in as a Teacher.
2- Open the Question Bank page.
3- Locate a question with a long question text.
4- Click the (+) Add button to add it to the Selected Questions panel.
5- Observe how the question text is displayed in the panel.</t>
  </si>
  <si>
    <t>Long Question Text</t>
  </si>
  <si>
    <t>The full question text should wrap correctly within the panel without being cut off, overlapping other elements, or breaking the layout.</t>
  </si>
  <si>
    <t>The panel layout experiences text-overflow issues, leading to a distorted and unreadable question preview state in the UI.</t>
  </si>
  <si>
    <t>The question text is truncated/cut off inside the Selected Questions panel, causing the UI layout to appear broken and making the full question difficult to read.</t>
  </si>
  <si>
    <t>TC_QB_038</t>
  </si>
  <si>
    <t>QB-038</t>
  </si>
  <si>
    <t>Verify Tag Filter Displays Questions Correctly</t>
  </si>
  <si>
    <t>Verify that selecting a tag from the Tags filter displays all questions associated with the selected tag.</t>
  </si>
  <si>
    <t>Apply the Free Response tag filter and observe the displayed questions.</t>
  </si>
  <si>
    <t>1- Log in as a Teacher.
2- Open the Question Bank page.
3- Open the Tags filter.
4- Select the Free Response tag.
5- Apply the filter if required.
6- Observe the displayed questions.</t>
  </si>
  <si>
    <t>Tag = Free Response</t>
  </si>
  <si>
    <t>Only questions associated with the selected tag should be displayed. If no questions exist with this tag, an appropriate "No Questions Found" message should be shown.</t>
  </si>
  <si>
    <t>The question list state displays an un-intended empty state message instead of loading the "Free Response" tagged data.</t>
  </si>
  <si>
    <t>No questions were displayed after applying the "Free Response" tag filter. Instead, the system displayed the message "No Questions Found / No Data", although questions with this tag are expected to exist.</t>
  </si>
  <si>
    <t>TC_QB_039</t>
  </si>
  <si>
    <t>QB-039</t>
  </si>
  <si>
    <t>Verify Education Level Filter Displays Matching Questions</t>
  </si>
  <si>
    <t>Verify that selecting an educational level, grade, and subject from the Levels filter displays the corresponding questions.</t>
  </si>
  <si>
    <t>Apply the Levels filter by selecting an educational stage, grade, and subject, then observe the displayed questions.</t>
  </si>
  <si>
    <t>1- Log in as a Teacher.
2- Open the Question Bank page.
3- From the right-side Levels section, select Preparatory Stage.
4- Select Grade 1.
5- Select Mathematics.
6- Apply the filter if required.
7- Observe the displayed questions.</t>
  </si>
  <si>
    <t>Stage = Preparatory, Grade = 1, Subject = Mathematics</t>
  </si>
  <si>
    <t>All questions matching the selected Preparatory Stage → Grade 1 → Mathematics should be displayed in the Question Bank.</t>
  </si>
  <si>
    <t>The question list state displays an un-intended empty state message instead of loading the selected educational hierarchy data.</t>
  </si>
  <si>
    <t>No questions were displayed after applying the selected Levels filter. Instead, the system displayed the message "No Questions Found / No Data", although matching questions are expected to exist.</t>
  </si>
  <si>
    <t>TC_EXM_040</t>
  </si>
  <si>
    <t>FR-EXM-001</t>
  </si>
  <si>
    <t>Verify Create Exam Page Loads Successfully</t>
  </si>
  <si>
    <t>Verify that the Create Exam page loads correctly with all required UI elements.</t>
  </si>
  <si>
    <t>Teacher account exists and at least one question has been selected from the Question Bank.</t>
  </si>
  <si>
    <t>1- Log in as a Teacher.
2- Open the Question Bank page.
3- Select one or more questions.
4- Click the Create Exam button.
5- Observe the Create Exam page.</t>
  </si>
  <si>
    <t>The Create Exam page opens successfully displaying all mandatory fields, scheduling options, exam settings, and action buttons without any UI issues.</t>
  </si>
  <si>
    <t>The Create Exam page remains active and ready for entering exam information.</t>
  </si>
  <si>
    <t>The Create Exam page opened successfully, displaying all mandatory fields, scheduling options, exam settings, and action buttons without any UI issues.</t>
  </si>
  <si>
    <t>TC_EXM_041</t>
  </si>
  <si>
    <t>FR-EXM-002</t>
  </si>
  <si>
    <t>Verify Exam Title Accepts Valid Input</t>
  </si>
  <si>
    <t>Verify that the Exam Title field accepts valid input.</t>
  </si>
  <si>
    <t>Create Exam page is opened successfully.</t>
  </si>
  <si>
    <t>1- Log in as a Teacher.
2- Open the Create Exam page.
3- Enter a valid exam title in the Exam Title field.
4- Complete all remaining required fields.
5- Click the Create Exam button.6- Observe the result.</t>
  </si>
  <si>
    <t>Exam Title = "Midterm Exam"</t>
  </si>
  <si>
    <t>The exam is created successfully without displaying any validation messages related to the Exam Title field.</t>
  </si>
  <si>
    <t>A new exam record is created successfully.</t>
  </si>
  <si>
    <t>The exam was created successfully, and the system accepted the valid Exam Title without displaying any validation errors.</t>
  </si>
  <si>
    <t>TC_EXM_042</t>
  </si>
  <si>
    <t>FR-EXM-003</t>
  </si>
  <si>
    <t>Verify Exam Title Is Required</t>
  </si>
  <si>
    <t>Verify that the system prevents creating an exam without entering an Exam Title.</t>
  </si>
  <si>
    <t>1- Log in as a Teacher.
2- Open the Create Exam page.
3- Leave the Exam Title field empty.
4- Complete all remaining required fields.
5- Click the Create Exam button.
6- Observe the validation message.</t>
  </si>
  <si>
    <t>Empty Exam Title</t>
  </si>
  <si>
    <t>A validation message is displayed indicating that the Exam Title field is required, and the exam is not created.</t>
  </si>
  <si>
    <t>The user remains on the Create Exam page until a valid title is entered.</t>
  </si>
  <si>
    <t>The system successfully prevented exam creation and displayed a browser/system validation message stating: "please fill out this field".</t>
  </si>
  <si>
    <t>TC_EXM_043</t>
  </si>
  <si>
    <t>FR-EXM-004</t>
  </si>
  <si>
    <t>Verify Exam Title Rejects Blank Spaces Only</t>
  </si>
  <si>
    <t>Verify that the system does not accept blank spaces as a valid Exam Title.</t>
  </si>
  <si>
    <t>1- Log in as a Teacher.
2- Open the Create Exam page.
3- Enter blank spaces only in the Exam Title field.
4- Complete all remaining required fields.
5- Click the Create Exam button.
6- Observe the validation message.</t>
  </si>
  <si>
    <t>The system rejects the entered value, displays a validation message, and prevents exam creation.</t>
  </si>
  <si>
    <t>No exam is created.</t>
  </si>
  <si>
    <t>The system rejected the blank spaces, blocked the exam creation, and displayed an error toast message: "Error failed to create exam, please try again".</t>
  </si>
  <si>
    <t>TC_EXM_044</t>
  </si>
  <si>
    <t>FR-EXM-005</t>
  </si>
  <si>
    <t>Verify Exam Title Accepts Arabic and English Characters</t>
  </si>
  <si>
    <t>Verify that the Exam Title field supports multilingual text.</t>
  </si>
  <si>
    <t>1- Log in as a Teacher.
2- Open the Create Exam page.
3- Enter an Exam Title containing Arabic and English characters.
4- Complete all remaining required fields.
5- Click the Create Exam button.6- Observe the result.</t>
  </si>
  <si>
    <t>"امتحان Mathematics Final"</t>
  </si>
  <si>
    <t>The Exam Title is accepted successfully and displayed correctly without encoding or formatting issues.</t>
  </si>
  <si>
    <t>The exam is created successfully with the entered title.</t>
  </si>
  <si>
    <t>The multilingual Exam Title containing both Arabic and English characters was accepted and displayed correctly without any encoding issues.</t>
  </si>
  <si>
    <t>TC_EXM_045</t>
  </si>
  <si>
    <t>FR-EXM-006</t>
  </si>
  <si>
    <t>Verify Instructions Field Accepts Valid Input</t>
  </si>
  <si>
    <t>Verify that the Instructions field accepts valid descriptive text.</t>
  </si>
  <si>
    <t>1- Log in as a Teacher.
2- Open the Create Exam page.
3- Enter valid text in the Instructions field.
4- Complete all remaining required fields.
5- Click the Create Exam button.
6- Observe the result.</t>
  </si>
  <si>
    <t>"Read all questions carefully before answering."</t>
  </si>
  <si>
    <t>The instructions are accepted successfully and saved with the created exam.</t>
  </si>
  <si>
    <t>The created exam contains the entered instructions.</t>
  </si>
  <si>
    <t>The descriptive instructions text was accepted and saved successfully with the created exam.</t>
  </si>
  <si>
    <t>TC_EXM_046</t>
  </si>
  <si>
    <t>FR-EXM-007</t>
  </si>
  <si>
    <t>Verify Instructions Field Accepts Long Text</t>
  </si>
  <si>
    <t>Verify that the Instructions field accepts long descriptive text without truncation.</t>
  </si>
  <si>
    <t>1- Log in as a Teacher.
2- Open the Create Exam page.
3- Paste a long paragraph into the Instructions field.
4- Complete all remaining required fields.
5- Click the Create Exam button.
6- Observe the result.</t>
  </si>
  <si>
    <t>Long Instructions (~1000 Characters)</t>
  </si>
  <si>
    <t>The complete text is accepted and saved successfully without affecting the page layout or functionality.</t>
  </si>
  <si>
    <t>The exam is created with the full instruction text.</t>
  </si>
  <si>
    <t xml:space="preserve"> The field lacks a character length limit. When entering a continuous string of text without spaces, the text does not wrap, resulting in it being severely truncated/cut off and visually inaccessible in the student view. However, when entering text with standard spaces, it wraps normally across multiple lines.</t>
  </si>
  <si>
    <t>TC_EXM_047</t>
  </si>
  <si>
    <t>FR-EXM-008</t>
  </si>
  <si>
    <t>Verify Duration Field Accepts Valid Value</t>
  </si>
  <si>
    <t>Verify that the Duration field accepts a valid numeric value.</t>
  </si>
  <si>
    <t>1- Log in as a Teacher.
2- Open the Create Exam page.
3- Enter a valid duration value.
4- Complete all remaining required fields.
5- Click the Create Exam button.
6- Observe the result.</t>
  </si>
  <si>
    <t>Duration = 60 Minutes</t>
  </si>
  <si>
    <t>The entered duration is accepted successfully and the exam is created without validation errors.</t>
  </si>
  <si>
    <t>The created exam is assigned the specified duration.</t>
  </si>
  <si>
    <t>The long paragraph in the Instructions field was accepted and saved successfully without affecting the page layout or truncation during creation.</t>
  </si>
  <si>
    <t>TC_EXM_048</t>
  </si>
  <si>
    <t>FR-EXM-009</t>
  </si>
  <si>
    <t>Verify Duration Field Is Required</t>
  </si>
  <si>
    <t>Verify that the system prevents creating an exam without entering a duration value.</t>
  </si>
  <si>
    <t>1- Log in as a Teacher.
2- Open the Create Exam page.
3- Leave the Duration field empty.
4- Complete all remaining required fields.
5- Click the Create Exam button.
6- Observe the validation message.</t>
  </si>
  <si>
    <t>Empty Duration</t>
  </si>
  <si>
    <t>A validation message is displayed indicating that the Duration field is required, and the exam is not created.</t>
  </si>
  <si>
    <t>The user remains on the Create Exam page until a valid duration is entered.</t>
  </si>
  <si>
    <t>The default duration is set to 10 minutes. When trying to leave the field completely empty, the system blocked the creation and displayed a validation message stating: "please fill out this field".</t>
  </si>
  <si>
    <t>TC_EXM_049</t>
  </si>
  <si>
    <t>FR-EXM-010</t>
  </si>
  <si>
    <t>Verify Duration Rejects Zero Value</t>
  </si>
  <si>
    <t>Verify that the system rejects zero as an invalid exam duration.</t>
  </si>
  <si>
    <t>1- Log in as a Teacher.
2- Open the Create Exam page.
3- Enter 0 in the Duration field.
4- Complete all remaining required fields.
5- Click the Create Exam button.
6- Observe the validation message.</t>
  </si>
  <si>
    <t>Duration = 0</t>
  </si>
  <si>
    <t>The system displays a validation message indicating that the duration must be greater than zero, and the exam is not created.</t>
  </si>
  <si>
    <t>No exam is created until a valid duration is entered.</t>
  </si>
  <si>
    <t>The system rejected the zero value, blocked the exam creation, and displayed a validation message stating: "value must be greater than or equal to 5".</t>
  </si>
  <si>
    <t>TC_EXM_050</t>
  </si>
  <si>
    <t>FR-EXM-011</t>
  </si>
  <si>
    <t>Verify Duration Rejects Negative Value</t>
  </si>
  <si>
    <t>Verify that the system does not accept negative values in the Duration field.</t>
  </si>
  <si>
    <t>1- Log in as a Teacher.
2- Open the Create Exam page.
3- Enter a negative value in the Duration field.
4- Complete all remaining required fields.
5- Click the Create Exam button.6- Observe the validation message.</t>
  </si>
  <si>
    <t>Duration = -30</t>
  </si>
  <si>
    <t>The system rejects the entered value, displays an appropriate validation message, and prevents exam creation.</t>
  </si>
  <si>
    <t>The Duration field does not accept negative inputs, preventing the user from typing a minus sign (-) or entering negative values entirely.</t>
  </si>
  <si>
    <t>TC_EXM_051</t>
  </si>
  <si>
    <t>FR-EXM-012</t>
  </si>
  <si>
    <t>Verify Duration Rejects Non-Numeric Characters</t>
  </si>
  <si>
    <t>Verify that the Duration field accepts numeric values only.</t>
  </si>
  <si>
    <t>1- Log in as a Teacher.
2- Open the Create Exam page.
3- Enter alphabetic characters in the Duration field.
4- Complete all remaining required fields.
5- Click the Create Exam button.
6- Observe the validation behavior.</t>
  </si>
  <si>
    <t>Duration = ABC</t>
  </si>
  <si>
    <t>The system prevents entering non-numeric values or displays an appropriate validation message.</t>
  </si>
  <si>
    <t>The Duration field contains only valid numeric values.</t>
  </si>
  <si>
    <t>The Duration field completely restricts non-numeric inputs, and any alphabetic characters entered do not appear in the field.</t>
  </si>
  <si>
    <t>TC_EXM_052</t>
  </si>
  <si>
    <t>FR-EXM-013</t>
  </si>
  <si>
    <t>Verify Start Date and Time Accept Valid Future Value</t>
  </si>
  <si>
    <t>Verify that the Start Date &amp; Time field accepts a valid future date and time.</t>
  </si>
  <si>
    <t>1- Log in as a Teacher.
2- Open the Create Exam page.
3- Select a future Start Date &amp; Time.
4- Complete all remaining required fields.5- Click the Create Exam button.6- Observe the result.</t>
  </si>
  <si>
    <t>Tomorrow 10:00 AM</t>
  </si>
  <si>
    <t>The selected Start Date &amp; Time is accepted successfully and the exam is created.</t>
  </si>
  <si>
    <t>The exam is scheduled according to the selected start date and time.</t>
  </si>
  <si>
    <t>The specified future Start Date &amp; Time was accepted successfully, and the exam was created and scheduled accordingly.</t>
  </si>
  <si>
    <t>TC_EXM_053</t>
  </si>
  <si>
    <t>FR-EXM-014</t>
  </si>
  <si>
    <t>Verify Start Date and Time Is Required</t>
  </si>
  <si>
    <t>Verify that the system prevents creating an exam without selecting a Start Date &amp; Time.</t>
  </si>
  <si>
    <t>1- Log in as a Teacher.
2- Open the Create Exam page.
3- Leave the Start Date &amp; Time field empty.
4- Complete all remaining required fields.
5- Click the Create Exam button.6- Observe the validation message.</t>
  </si>
  <si>
    <t>Empty Start Date</t>
  </si>
  <si>
    <t>A validation message is displayed indicating that the Start Date &amp; Time field is required.</t>
  </si>
  <si>
    <t>The exam is not created.</t>
  </si>
  <si>
    <t>The field is pre-populated automatically with the current date and time and cannot be left empty.</t>
  </si>
  <si>
    <t>TC_EXM_054</t>
  </si>
  <si>
    <t>FR-EXM-015</t>
  </si>
  <si>
    <t>Verify Start Date Cannot Be in the Past</t>
  </si>
  <si>
    <t>Verify that the system does not allow selecting a past Start Date &amp; Time.</t>
  </si>
  <si>
    <t>1- Log in as a Teacher.
2- Open the Create Exam page.
3- Select a past Start Date &amp; Time.
4- Complete all remaining required fields.
5- Click the Create Exam button.
6- Observe the validation message.</t>
  </si>
  <si>
    <t>Yesterday 09:00 AM</t>
  </si>
  <si>
    <t>The system rejects the selected date and displays an appropriate validation message.</t>
  </si>
  <si>
    <t>The system rejected the past date, blocked the exam creation, and displayed an error toast message: "Error failed to create exam, please try again".</t>
  </si>
  <si>
    <t>TC_EXM_055</t>
  </si>
  <si>
    <t>FR-EXM-016</t>
  </si>
  <si>
    <t>Verify End Date and Time Accept Valid Value</t>
  </si>
  <si>
    <t>Verify that the End Date &amp; Time field accepts a valid value after the Start Date &amp; Time.</t>
  </si>
  <si>
    <t>1- Log in as a Teacher.
2- Open the Create Exam page.
3- Select valid Start and End Date &amp; Time values.
4- Complete all remaining required fields.
5- Click the Create Exam button.6- Observe the result.</t>
  </si>
  <si>
    <t>Start: 10:00 AMEnd: 11:00 AM</t>
  </si>
  <si>
    <t>The exam is created successfully using the selected schedule.</t>
  </si>
  <si>
    <t>The exam schedule is saved successfully.</t>
  </si>
  <si>
    <t>The exam was created successfully using the valid future Start and End Date &amp; Time configurations.</t>
  </si>
  <si>
    <t>TC_EXM_056</t>
  </si>
  <si>
    <t>FR-EXM-017</t>
  </si>
  <si>
    <t>Verify End Date Cannot Be Earlier Than Start Date</t>
  </si>
  <si>
    <t>Verify that the system prevents selecting an End Date earlier than the Start Date.</t>
  </si>
  <si>
    <t>1- Log in as a Teacher.
2- Open the Create Exam page.
3- Select a valid Start Date.
4- Select an End Date earlier than the Start Date.
5- Click the Create Exam button.
6- Observe the validation message.</t>
  </si>
  <si>
    <t>Start: Today 02:00 PMEnd: Today 01:00 PM</t>
  </si>
  <si>
    <t>The system displays a validation message and prevents exam creation.</t>
  </si>
  <si>
    <t>The schedule is not saved until valid dates are selected.</t>
  </si>
  <si>
    <t>The system rejected the invalid date sequence, blocked the exam creation, and displayed an error toast message: "Error failed to create exam, please try again".</t>
  </si>
  <si>
    <t>TC_EXM_057</t>
  </si>
  <si>
    <t>FR-EXM-018</t>
  </si>
  <si>
    <t>Verify End Date Can Be Equal to Start Date According to Business Rules</t>
  </si>
  <si>
    <t>Verify the system behavior when the Start Date &amp; Time and End Date &amp; Time are identical.</t>
  </si>
  <si>
    <t>1- Log in as a Teacher.
2- Open the Create Exam page.
3- Select identical Start and End Date &amp; Time values.
4- Complete all remaining required fields.
5- Click the Create Exam button.6- Observe the system behavior.</t>
  </si>
  <si>
    <t>Start = End</t>
  </si>
  <si>
    <t>The system either accepts or rejects the schedule according to the defined business rules and displays the appropriate response.</t>
  </si>
  <si>
    <t>The schedule follows the configured validation rules.</t>
  </si>
  <si>
    <t>The system rejected identical Start and End times, blocked the exam creation, and displayed an error toast message: "Error failed to create exam, please try again".</t>
  </si>
  <si>
    <t>TC_EXM_058</t>
  </si>
  <si>
    <t>FR-EXM-019</t>
  </si>
  <si>
    <t>Verify End Date Field Is Required (If Applicable)</t>
  </si>
  <si>
    <t>Verify that the system requires an End Date &amp; Time when the field is mandatory.</t>
  </si>
  <si>
    <t>1- Log in as a Teacher.
2- Open the Create Exam page.
3- Leave the End Date &amp; Time field empty.
4- Complete all remaining required fields.
5- Click the Create Exam button.6- Observe the system response.</t>
  </si>
  <si>
    <t>Empty End Date</t>
  </si>
  <si>
    <t>The system displays a validation message if the field is mandatory; otherwise, it applies the default business logic.</t>
  </si>
  <si>
    <t>The exam follows the configured scheduling rules.</t>
  </si>
  <si>
    <t>In accordance with the defined business logic, the system successfully allowed the exam to be created without forcing or requiring an expiry/end date.</t>
  </si>
  <si>
    <t>TC_EXM_059</t>
  </si>
  <si>
    <t>FR-EXM-020</t>
  </si>
  <si>
    <t>Verify End Date Accepts Future Date and Time</t>
  </si>
  <si>
    <t>Verify that the End Date &amp; Time field accepts a valid future date and time.</t>
  </si>
  <si>
    <t>1- Log in as a Teacher.
2- Open the Create Exam page.
3- Select a valid future End Date &amp; Time after the Start Date.
4- Complete all remaining required fields.
5- Click the Create Exam button.6- Observe the result.</t>
  </si>
  <si>
    <t>End Date = Tomorrow 11:00 AM</t>
  </si>
  <si>
    <t>The selected End Date &amp; Time is accepted successfully and the exam is created with the specified schedule.</t>
  </si>
  <si>
    <t>The valid future End Date &amp; Time was accepted successfully, and the exam schedule was saved without any issues.</t>
  </si>
  <si>
    <t>TC_EXM_060</t>
  </si>
  <si>
    <t>FR-EXM-021</t>
  </si>
  <si>
    <t>Verify Assign Class Accepts Valid Selection</t>
  </si>
  <si>
    <t>Verify that a teacher can assign the exam to a valid class.</t>
  </si>
  <si>
    <t>Create Exam page is opened successfully and at least one class exists.</t>
  </si>
  <si>
    <t>1- Log in as a Teacher.
2- Open the Create Exam page.
3- Click the Assign Class dropdown.4- Select a valid class.
5- Complete all remaining required fields.
6- Click the Create Exam button.
7- Observe the result.</t>
  </si>
  <si>
    <t>Existing Class</t>
  </si>
  <si>
    <t>The selected class is assigned successfully and the exam is created.</t>
  </si>
  <si>
    <t>The created exam is assigned to the selected class.</t>
  </si>
  <si>
    <t>The selected class was assigned successfully, the exam was created, and it is displayed correctly on the student's side.</t>
  </si>
  <si>
    <t>TC_EXM_061</t>
  </si>
  <si>
    <t>FR-EXM-022</t>
  </si>
  <si>
    <t>Verify Assign Class Is Required</t>
  </si>
  <si>
    <t>Verify that the system prevents creating an exam without selecting a class.</t>
  </si>
  <si>
    <t>1- Log in as a Teacher.
2- Open the Create Exam page.
3- Leave the Assign Class field empty.
4- Complete all remaining required fields.
5- Click the Create Exam button.
6- Observe the validation message.</t>
  </si>
  <si>
    <t>No Class Selected</t>
  </si>
  <si>
    <t>A validation message is displayed and the exam is not created.</t>
  </si>
  <si>
    <t>The user remains on the Create Exam page.</t>
  </si>
  <si>
    <t>There is a logical business rule defect; the system treats the "Assign Class" field as optional instead of mandatory, allowing the teacher to successfully create an exam without selecting any class, which contradicts the expected constraints.</t>
  </si>
  <si>
    <t>TC_EXM_062</t>
  </si>
  <si>
    <t>FR-EXM-023</t>
  </si>
  <si>
    <t>Verify Difficulty Accepts Easy Level</t>
  </si>
  <si>
    <t>Verify that the exam can be created with the Easy difficulty level.</t>
  </si>
  <si>
    <t>1- Log in as a Teacher.
2- Open the Create Exam page.
3- Select Easy from the Difficulty dropdown.
4- Complete all remaining required fields.
5- Click the Create Exam button.6- Observe the result.</t>
  </si>
  <si>
    <t>Difficulty = Easy</t>
  </si>
  <si>
    <t>The exam is created successfully with Easy difficulty assigned.</t>
  </si>
  <si>
    <t>The selected difficulty is saved correctly.</t>
  </si>
  <si>
    <t xml:space="preserve"> The "Easy" difficulty level was selected during creation, but on the "Exams" page, the system overrides this choice and dynamically displays the difficulty based solely on the selected questions' levels rather than the manually assigned exam difficulty.</t>
  </si>
  <si>
    <t>TC_EXM_063</t>
  </si>
  <si>
    <t>FR-EXM-024</t>
  </si>
  <si>
    <t>Verify Difficulty Accepts Medium Level</t>
  </si>
  <si>
    <t>Verify that the exam can be created with the Medium difficulty level.</t>
  </si>
  <si>
    <t>1- Log in as a Teacher.
2- Open the Create Exam page.
3- Select Medium from the Difficulty dropdown.
4- Complete all remaining required fields.
5- Click the Create Exam button.6- Observe the result.</t>
  </si>
  <si>
    <t>Difficulty = Medium</t>
  </si>
  <si>
    <t>The exam is created successfully with Medium difficulty assigned.</t>
  </si>
  <si>
    <t>The "Medium" difficulty level was selected during creation, but on the "Exams" page, the system overrides this choice and dynamically displays the difficulty based solely on the selected questions' levels rather than the manually assigned exam difficulty.</t>
  </si>
  <si>
    <t>TC_EXM_064</t>
  </si>
  <si>
    <t>FR-EXM-025</t>
  </si>
  <si>
    <t>Verify Difficulty Accepts Hard Level</t>
  </si>
  <si>
    <t>Verify that the exam can be created with the Hard difficulty level.</t>
  </si>
  <si>
    <t>1- Log in as a Teacher.
2- Open the Create Exam page.
3- Select Hard from the Difficulty dropdown.
4- Complete all remaining required fields.
5- Click the Create Exam button.6- Observe the result.</t>
  </si>
  <si>
    <t>Difficulty = Hard</t>
  </si>
  <si>
    <t>The exam is created successfully with Hard difficulty assigned.</t>
  </si>
  <si>
    <t>The "Hard" difficulty level was selected during creation, but on the "Exams" page, the system overrides this choice and dynamically displays the difficulty based solely on the selected questions' levels rather than the manually assigned exam difficulty.</t>
  </si>
  <si>
    <t>TC_EXM_065</t>
  </si>
  <si>
    <t>FR-EXM-026</t>
  </si>
  <si>
    <t>Verify Prevent Cheating Toggle Can Be Enabled</t>
  </si>
  <si>
    <t>Verify that the Prevent Cheating option can be enabled successfully.</t>
  </si>
  <si>
    <t>1- Log in as a Teacher.
2- Open the Create Exam page.
3- Enable the Prevent Cheating toggle.
4- Complete all remaining required fields.
5- Click the Create Exam button.
6- Observe the result.</t>
  </si>
  <si>
    <t>Prevent Cheating = ON</t>
  </si>
  <si>
    <t>The exam is created successfully with the Prevent Cheating option enabled.</t>
  </si>
  <si>
    <t>The selected setting is saved successfully.</t>
  </si>
  <si>
    <t>The exam was created successfully with the "Prevent Cheating" toggle enabled and saved properly in the system configuration.</t>
  </si>
  <si>
    <t>TC_EXM_066</t>
  </si>
  <si>
    <t>FR-EXM-027</t>
  </si>
  <si>
    <t>Verify Prevent Cheating Toggle Can Be Disabled</t>
  </si>
  <si>
    <t>Verify that the Prevent Cheating option can be disabled successfully.</t>
  </si>
  <si>
    <t>1- Log in as a Teacher.
2- Open the Create Exam page.
3- Disable the Prevent Cheating toggle.
4- Complete all remaining required fields.
5- Click the Create Exam button.6- Observe the result.</t>
  </si>
  <si>
    <t>Prevent Cheating = OFF</t>
  </si>
  <si>
    <t>The exam is created successfully with the Prevent Cheating option disabled.</t>
  </si>
  <si>
    <t>The exam was created successfully with the "Prevent Cheating" toggle disabled and saved properly in the system configuration.</t>
  </si>
  <si>
    <t>TC_EXM_067</t>
  </si>
  <si>
    <t>FR-EXM-028</t>
  </si>
  <si>
    <t>Verify Randomize Questions Toggle Can Be Enabled</t>
  </si>
  <si>
    <t>Verify that the Randomize Questions option can be enabled successfully.</t>
  </si>
  <si>
    <t>1- Log in as a Teacher.
2- Open the Create Exam page.
3- Enable the Randomize Questions toggle.
4- Complete all remaining required fields.
5- Click the Create Exam button.6- Observe the result.</t>
  </si>
  <si>
    <t>Randomize Questions = ON</t>
  </si>
  <si>
    <t>The exam is created successfully with question randomization enabled.</t>
  </si>
  <si>
    <t>The exam was created successfully with the "Randomize Questions" toggle enabled and saved properly in the system configuration.</t>
  </si>
  <si>
    <t>TC_EXM_068</t>
  </si>
  <si>
    <t>FR-EXM-029</t>
  </si>
  <si>
    <t>Verify Randomize Questions Toggle Can Be Disabled</t>
  </si>
  <si>
    <t>Verify that the Randomize Questions option can be disabled successfully.</t>
  </si>
  <si>
    <t>1- Log in as a Teacher.
2- Open the Create Exam page.
3- Disable the Randomize Questions toggle.
4- Complete all remaining required fields.
5- Click the Create Exam button.
6- Observe the result.</t>
  </si>
  <si>
    <t>Randomize Questions = OFF</t>
  </si>
  <si>
    <t>The exam is created successfully with question randomization disabled.</t>
  </si>
  <si>
    <t>The exam was created successfully with the "Randomize Questions" toggle disabled and saved properly in the system configuration.</t>
  </si>
  <si>
    <t>TC_EXM_069</t>
  </si>
  <si>
    <t>FR-EXM-030</t>
  </si>
  <si>
    <t>Verify Show Grades Immediately Toggle Can Be Enabled</t>
  </si>
  <si>
    <t>Verify that the Show Grades Immediately option can be enabled successfully.</t>
  </si>
  <si>
    <t>1- Log in as a Teacher.2- Open the Create Exam page.3- Enable the Show Grades Immediately toggle.4- Complete all remaining required fields.5- Click the Create Exam button.6- Observe the result.</t>
  </si>
  <si>
    <t>Show Grades Immediately = ON</t>
  </si>
  <si>
    <t>The exam is created successfully with the Show Grades Immediately option enabled.</t>
  </si>
  <si>
    <t>The exam was created successfully with the "Show Grades Immediately" toggle enabled and saved properly in the system configuration.</t>
  </si>
  <si>
    <t>TC_EXM_070</t>
  </si>
  <si>
    <t>FR-EXM-031</t>
  </si>
  <si>
    <t>Verify Override Rule Can Be Added Successfully</t>
  </si>
  <si>
    <t>Verify that a teacher can add a new override rule successfully.</t>
  </si>
  <si>
    <t>1- Log in as a Teacher.2- Open the Create Exam page.3- Scroll to the Override Rules section.4- Click Add Rule.5- Enter valid Time and Points values.6- Click Create Exam.7- Observe the result.</t>
  </si>
  <si>
    <t>Time = 10 min, Points = 5</t>
  </si>
  <si>
    <t>The override rule is added successfully and saved with the created exam.</t>
  </si>
  <si>
    <t>The created exam contains the configured override rule.</t>
  </si>
  <si>
    <t>The override rule was added successfully and saved with the created exam containing the configured time and points.</t>
  </si>
  <si>
    <t>TC_EXM_071</t>
  </si>
  <si>
    <t>FR-EXM-032</t>
  </si>
  <si>
    <t>Verify Override Rule Cannot Be Added with Empty Values</t>
  </si>
  <si>
    <t>Verify that the system validates required fields before adding an override rule.</t>
  </si>
  <si>
    <t>1- Log in as a Teacher.2- Open the Create Exam page.3- Click Add Rule.4- Leave the required fields empty.5- Click Create Exam.6- Observe the validation message.</t>
  </si>
  <si>
    <t>Empty Rule</t>
  </si>
  <si>
    <t>Appropriate validation messages are displayed and the exam is not created until valid values are entered.</t>
  </si>
  <si>
    <t>The page remains open awaiting valid input.</t>
  </si>
  <si>
    <t xml:space="preserve"> There is a validation defect; the system accepts creating the exam with empty fields in the override rule section instead of blocking the submission and displaying the appropriate validation messages.</t>
  </si>
  <si>
    <t>TC_EXM_072</t>
  </si>
  <si>
    <t>FR-EXM-033</t>
  </si>
  <si>
    <t>Verify Multiple Override Rules Can Be Added</t>
  </si>
  <si>
    <t>Verify that multiple override rules can be added successfully.</t>
  </si>
  <si>
    <t>1- Log in as a Teacher.2- Open the Create Exam page.3- Add more than one override rule.4- Complete all required fields.5- Click Create Exam.6- Observe the result.</t>
  </si>
  <si>
    <t>Two Valid Rules</t>
  </si>
  <si>
    <t>All override rules are saved successfully with the created exam.</t>
  </si>
  <si>
    <t>The exam contains all configured override rules.</t>
  </si>
  <si>
    <t>Multiple override rules were added successfully, and all configured rules were saved correctly with the created exam.</t>
  </si>
  <si>
    <t>TC_EXM_073</t>
  </si>
  <si>
    <t>FR-EXM-034</t>
  </si>
  <si>
    <t>Verify Override Rule Can Be Removed Successfully</t>
  </si>
  <si>
    <t>Verify that an existing override rule can be removed before creating the exam.</t>
  </si>
  <si>
    <t>At least one override rule exists.</t>
  </si>
  <si>
    <t>1- Log in as a Teacher.2- Open the Create Exam page.3- Add an override rule.4- Remove the added rule.5- Click Create Exam.6- Observe the result.</t>
  </si>
  <si>
    <t>Existing Rule</t>
  </si>
  <si>
    <t>The selected override rule is removed successfully before saving the exam.</t>
  </si>
  <si>
    <t>Only the remaining rules are saved.</t>
  </si>
  <si>
    <t>The selected override rule was removed successfully from the user interface before saving, and only the remaining rules were saved.</t>
  </si>
  <si>
    <t>TC_EXM_074</t>
  </si>
  <si>
    <t>FR-EXM-035</t>
  </si>
  <si>
    <t>Verify Create Exam Button Creates Exam Successfully</t>
  </si>
  <si>
    <t>Verify that clicking Create Exam creates a new exam successfully when all required data is valid.</t>
  </si>
  <si>
    <t>All mandatory fields are completed correctly.</t>
  </si>
  <si>
    <t>1- Log in as a Teacher.2- Open the Create Exam page.3- Enter valid data in all required fields.4- Click Create Exam.5- Observe the result.</t>
  </si>
  <si>
    <t>Valid Exam Data</t>
  </si>
  <si>
    <t>The exam is created successfully and a success message is displayed.</t>
  </si>
  <si>
    <t>The new exam appears in the Exams list.</t>
  </si>
  <si>
    <t>The exam was created successfully upon clicking the "Create Exam" button, and the new exam record appears instantly in the Exams list.</t>
  </si>
  <si>
    <t>TC_EXM_075</t>
  </si>
  <si>
    <t>FR-EXM-036</t>
  </si>
  <si>
    <t>Verify Create Exam Prevents Submission with Missing Required Fields</t>
  </si>
  <si>
    <t>Verify that the system prevents exam creation when mandatory fields are missing.</t>
  </si>
  <si>
    <t>1- Log in as a Teacher.2- Open the Create Exam page.3- Leave one or more required fields empty.4- Click Create Exam.5- Observe the validation messages.</t>
  </si>
  <si>
    <t>Missing Required Fields</t>
  </si>
  <si>
    <t>The system displays validation messages and prevents exam creation.</t>
  </si>
  <si>
    <t>The system successfully prevents exam creation when mandatory fields are missing and displays the appropriate validation messages.</t>
  </si>
  <si>
    <t>TC_EXM_076</t>
  </si>
  <si>
    <t>FR-EXM-037</t>
  </si>
  <si>
    <t>Verify Cancel Button Discards Unsaved Changes</t>
  </si>
  <si>
    <t>Verify that clicking Cancel exits the page without saving any entered data.</t>
  </si>
  <si>
    <t>1- Log in as a Teacher.2- Open the Create Exam page.3- Enter data into multiple fields.4- Click Cancel.5- Observe the result.</t>
  </si>
  <si>
    <t>Unsaved Exam Data</t>
  </si>
  <si>
    <t>The page closes without creating an exam or saving any entered information.</t>
  </si>
  <si>
    <t>Clicking the "Cancel" button discards all unsaved modifications, exits the creation wizard successfully, and no exam record is created.</t>
  </si>
  <si>
    <t>TC_EXM_077</t>
  </si>
  <si>
    <t>FR-EXM-038</t>
  </si>
  <si>
    <t>Verify Double Clicking Create Exam Does Not Create Duplicate Exams</t>
  </si>
  <si>
    <t>Verify that repeated clicks on the Create Exam button do not create duplicate records.</t>
  </si>
  <si>
    <t>1- Log in as a Teacher.2- Open the Create Exam page.3- Complete all required fields.4- Double-click the Create Exam button quickly.5- Observe the result.</t>
  </si>
  <si>
    <t>Only one exam is created regardless of multiple clicks.</t>
  </si>
  <si>
    <t>A single exam record exists.</t>
  </si>
  <si>
    <t>The system successfully handles multiple quick clicks on the "Create Exam" button, and only a single exam record is generated without any duplication.</t>
  </si>
  <si>
    <t>TC_EXM_078</t>
  </si>
  <si>
    <t>FR-EXM-039</t>
  </si>
  <si>
    <t>Verify Validation Errors Do Not Clear Entered Data</t>
  </si>
  <si>
    <t>Verify that previously entered data remains after validation errors occur.</t>
  </si>
  <si>
    <t>1- Log in as a Teacher.2- Open the Create Exam page.3- Fill all fields except one required field.4- Click Create Exam.5- Observe the page after validation.</t>
  </si>
  <si>
    <t>Missing One Required Field</t>
  </si>
  <si>
    <t>Validation messages appear while all previously entered values remain unchanged.</t>
  </si>
  <si>
    <t>The user can continue editing without re-entering data.</t>
  </si>
  <si>
    <t>Previously entered data remains fully intact in all fields after validation errors occur, allowing the user to make corrections easily.</t>
  </si>
  <si>
    <t>TC_EXM_079</t>
  </si>
  <si>
    <t>FR-EXM-040</t>
  </si>
  <si>
    <t>Verify Create Exam Under Slow Network Connection</t>
  </si>
  <si>
    <t>Verify that exam creation completes successfully under a slow network connection.</t>
  </si>
  <si>
    <t>Slow network simulation is available.</t>
  </si>
  <si>
    <t>1- Log in as a Teacher.2- Simulate a slow network.3- Complete all required fields.4- Click Create Exam.5- Observe the loading behavior and result.</t>
  </si>
  <si>
    <t>The exam is created successfully without duplicate requests or unexpected errors.</t>
  </si>
  <si>
    <t>The exam is created successfully.</t>
  </si>
  <si>
    <t>The exam was created successfully under simulated slow network conditions without duplicate requests or network timeout errors.</t>
  </si>
  <si>
    <t>TC_EXM_080</t>
  </si>
  <si>
    <t>FR-EXM-041</t>
  </si>
  <si>
    <t>Verify Refresh Before Saving Clears Unsaved Data</t>
  </si>
  <si>
    <t>Verify the system behavior when the page is refreshed before saving the exam.</t>
  </si>
  <si>
    <t>1- Log in as a Teacher.2- Open the Create Exam page.3- Enter data into multiple fields.4- Refresh the browser.5- Observe the page.</t>
  </si>
  <si>
    <t>Unsaved data is cleared and no exam is created.</t>
  </si>
  <si>
    <t>The page is reloaded in its default state.</t>
  </si>
  <si>
    <t>Refreshing the browser successfully cleared all unsaved data, and the creation page reloaded back to its default initial state.</t>
  </si>
  <si>
    <t>TC_EXM_081</t>
  </si>
  <si>
    <t>FR-EXM-042</t>
  </si>
  <si>
    <t>Verify Session Timeout During Exam Creation</t>
  </si>
  <si>
    <t>Verify the system behavior when the user session expires while creating an exam.</t>
  </si>
  <si>
    <t>User session timeout is configured.</t>
  </si>
  <si>
    <t>1- Log in as a Teacher.2- Open the Create Exam page.3- Wait until the session expires.4- Click Create Exam.5- Observe the result.</t>
  </si>
  <si>
    <t>Expired Session</t>
  </si>
  <si>
    <t>The user is redirected to the login page or prompted to log in again without creating the exam.</t>
  </si>
  <si>
    <t>Upon session timeout, the system successfully restricted exam creation and redirected the user to the login screen as expected.</t>
  </si>
  <si>
    <t>TC_EXM_082</t>
  </si>
  <si>
    <t>FR-EXM-043</t>
  </si>
  <si>
    <t>Verify Exam Creation with All Optional Settings Enabled</t>
  </si>
  <si>
    <t>Verify that an exam can be created successfully when all optional settings are enabled.</t>
  </si>
  <si>
    <t>1- Log in as a Teacher.2- Open the Create Exam page.3- Enable all available optional settings.4- Complete all required fields.5- Click Create Exam.6- Observe the result.</t>
  </si>
  <si>
    <t>All Toggles Enabled</t>
  </si>
  <si>
    <t>The exam is created successfully with all selected settings applied correctly.</t>
  </si>
  <si>
    <t>The exam configuration matches all selected options.</t>
  </si>
  <si>
    <t>The exam was created successfully with all available optional settings and toggles enabled and saved properly.</t>
  </si>
  <si>
    <t>TC_EXM_083</t>
  </si>
  <si>
    <t>FR-EXM-044</t>
  </si>
  <si>
    <t>Verify Text Fields Handle Special Characters Correctly</t>
  </si>
  <si>
    <t>Verify that text fields correctly process supported special characters without affecting system stability.</t>
  </si>
  <si>
    <t>1- Log in as a Teacher.2- Open the Create Exam page.3- Enter supported special characters in text fields.4- Complete all remaining required fields.5- Click Create Exam.6- Observe the result.</t>
  </si>
  <si>
    <t>Exam #1 - Final (2026)</t>
  </si>
  <si>
    <t>The exam is created successfully and the entered text is displayed correctly without formatting issues.</t>
  </si>
  <si>
    <t>The exam data is stored correctly.</t>
  </si>
  <si>
    <t>The text fields successfully accepted and processed all entered special characters without causing any encoding or system stability issues.</t>
  </si>
  <si>
    <t>TC_EXM_084</t>
  </si>
  <si>
    <t>FR-EXM-045</t>
  </si>
  <si>
    <t>Verify Newly Created Exam Appears in Exams List</t>
  </si>
  <si>
    <t>Verify that a newly created exam is displayed correctly in the Exams list after creation.</t>
  </si>
  <si>
    <t>A new exam has been created successfully.</t>
  </si>
  <si>
    <t>1- Log in as a Teacher.2- Create a new exam with valid data.3- Navigate to the Exams page.4- Locate the newly created exam.5- Observe the displayed information.</t>
  </si>
  <si>
    <t>Valid Exam</t>
  </si>
  <si>
    <t>The newly created exam appears in the Exams list with the correct title, class assignment, and configured settings.</t>
  </si>
  <si>
    <t>The exam is available for future management and publishing.</t>
  </si>
  <si>
    <t>The newly created exam appears immediately and correctly in the Exams list, displaying the accurate title, class assignment, and status.</t>
  </si>
  <si>
    <t>TC_EXM_085</t>
  </si>
  <si>
    <t>FR-EXM-046</t>
  </si>
  <si>
    <t>Verify Exams Dashboard Loads Successfully</t>
  </si>
  <si>
    <t>Verify that the Exams Dashboard loads correctly with all UI components displayed.</t>
  </si>
  <si>
    <t>Teacher/Admin account exists.</t>
  </si>
  <si>
    <t>1- Log in as Teacher/Admin.2- Navigate to the Exams page.3- Observe the page after loading.</t>
  </si>
  <si>
    <t>Valid Account</t>
  </si>
  <si>
    <t>The Exams Dashboard loads successfully displaying search bar, filters, exam cards and action buttons without UI issues.</t>
  </si>
  <si>
    <t>Dashboard remains ready for user interaction.</t>
  </si>
  <si>
    <t>The Exams Dashboard loaded successfully, displaying the search bar, filters, exam cards, and action buttons without any UI issues.</t>
  </si>
  <si>
    <t>TC_EXM_086</t>
  </si>
  <si>
    <t>FR-EXM-047</t>
  </si>
  <si>
    <t>Verify Search Returns Matching Exam</t>
  </si>
  <si>
    <t>Verify that searching using an existing exam title returns the correct exam.</t>
  </si>
  <si>
    <t>At least one exam exists.</t>
  </si>
  <si>
    <t>1- Log in as Teacher/Admin.2- Open the Exams page.3- Enter an existing exam title in the Search field.4- Observe the displayed results.</t>
  </si>
  <si>
    <t>Exam Name = "TEST"</t>
  </si>
  <si>
    <t>Only the matching exam card is displayed.</t>
  </si>
  <si>
    <t>Search filter remains applied.</t>
  </si>
  <si>
    <t>The search functionality works as expected; searching for an existing exam title returned only the correct and matching exam card.</t>
  </si>
  <si>
    <t>TC_EXM_087</t>
  </si>
  <si>
    <t>FR-EXM-048</t>
  </si>
  <si>
    <t>Verify Search with Non-Existing Exam</t>
  </si>
  <si>
    <t>Verify that searching using a non-existing exam title returns no results.</t>
  </si>
  <si>
    <t>Exams page is opened.</t>
  </si>
  <si>
    <t>1- Log in as Teacher/Admin.2- Open the Exams page.3- Enter a non-existing exam title.4- Observe the search result.</t>
  </si>
  <si>
    <t>RandomText123</t>
  </si>
  <si>
    <t>No exam cards are displayed and an appropriate empty state is shown.</t>
  </si>
  <si>
    <t>Search remains active.</t>
  </si>
  <si>
    <t>The system successfully handled the non-existing search query, displaying no exam cards and showing an appropriate empty state.</t>
  </si>
  <si>
    <t>TC_EXM_088</t>
  </si>
  <si>
    <t>FR-EXM-049</t>
  </si>
  <si>
    <t>Verify Search Ignores Leading and Trailing Spaces</t>
  </si>
  <si>
    <t>Verify that extra spaces do not affect search results.</t>
  </si>
  <si>
    <t>Matching exam exists.</t>
  </si>
  <si>
    <t>1- Log in as Teacher/Admin.2- Open the Exams page.3- Enter the exam title with leading and trailing spaces.4- Observe the search results.</t>
  </si>
  <si>
    <t>" TEST "</t>
  </si>
  <si>
    <t>The correct exam is returned after trimming unnecessary spaces.</t>
  </si>
  <si>
    <t>Search remains applied.</t>
  </si>
  <si>
    <t>The search successfully trimmed the leading and trailing whitespaces and returned the correct matching exam card.</t>
  </si>
  <si>
    <t>TC_EXM_089</t>
  </si>
  <si>
    <t>FR-EXM-050</t>
  </si>
  <si>
    <t>Verify All Filter Displays Every Exam</t>
  </si>
  <si>
    <t>Verify that selecting the All filter displays exams regardless of their status.</t>
  </si>
  <si>
    <t>Exams with different statuses exist.</t>
  </si>
  <si>
    <t>1- Log in as Teacher/Admin.2- Open the Exams page.3- Click the All filter.4- Observe the displayed exams.</t>
  </si>
  <si>
    <t>Mixed Exam Statuses</t>
  </si>
  <si>
    <t>All available exams are displayed.</t>
  </si>
  <si>
    <t>All filter remains selected.</t>
  </si>
  <si>
    <t>Selecting the "All" filter successfully displayed every available exam regardless of its current status (Active, Upcoming, or Finished).</t>
  </si>
  <si>
    <t>TC_EXM_090</t>
  </si>
  <si>
    <t>FR-EXM-051</t>
  </si>
  <si>
    <t>Verify Active Filter Displays Active Exams Only</t>
  </si>
  <si>
    <t>Verify that the Active filter displays only active exams.</t>
  </si>
  <si>
    <t>At least one active exam exists.</t>
  </si>
  <si>
    <t>1- Log in as Teacher/Admin.2- Open the Exams page.3- Click the Active filter.4- Observe the displayed exams.</t>
  </si>
  <si>
    <t>Active Exams</t>
  </si>
  <si>
    <t>Only active exams are displayed.</t>
  </si>
  <si>
    <t>Active filter remains selected.</t>
  </si>
  <si>
    <t>The "Active" filter functions correctly, displaying only the exams that are currently active.</t>
  </si>
  <si>
    <t>TC_EXM_091</t>
  </si>
  <si>
    <t>FR-EXM-052</t>
  </si>
  <si>
    <t>Verify Upcoming Filter Displays Upcoming Exams Only</t>
  </si>
  <si>
    <t>Verify that the Upcoming filter displays scheduled exams only.</t>
  </si>
  <si>
    <t>Upcoming exams exist.</t>
  </si>
  <si>
    <t>1- Log in as Teacher/Admin.2- Open the Exams page.3- Click the Upcoming filter.4- Observe the displayed exams.</t>
  </si>
  <si>
    <t>Upcoming Exams</t>
  </si>
  <si>
    <t>Only upcoming exams are displayed.</t>
  </si>
  <si>
    <t>Upcoming filter remains selected.</t>
  </si>
  <si>
    <t>The "Upcoming" filter functions correctly, displaying only the exams that are scheduled for the future.</t>
  </si>
  <si>
    <t>TC_EXM_092</t>
  </si>
  <si>
    <t>FR-EXM-053</t>
  </si>
  <si>
    <t>Verify Finished Filter Displays Completed Exams Only</t>
  </si>
  <si>
    <t>Verify that the Finished filter displays completed exams only.</t>
  </si>
  <si>
    <t>Completed exams exist.</t>
  </si>
  <si>
    <t>1- Log in as Teacher/Admin.2- Open the Exams page.3- Click the Finished filter.4- Observe the displayed exams.</t>
  </si>
  <si>
    <t>Finished Exams</t>
  </si>
  <si>
    <t>Only finished exams are displayed.</t>
  </si>
  <si>
    <t>Finished filter remains selected.</t>
  </si>
  <si>
    <t>The "Finished" filter functions correctly, displaying only the completed and ended exams.</t>
  </si>
  <si>
    <t>TC_EXM_093</t>
  </si>
  <si>
    <t>FR-EXM-054</t>
  </si>
  <si>
    <t>Verify Edit Button Opens Exam Editor</t>
  </si>
  <si>
    <t>Verify that clicking Edit opens the exam editing page.</t>
  </si>
  <si>
    <t>At least one editable exam exists.</t>
  </si>
  <si>
    <t>1- Log in as Teacher/Admin.2- Open the Exams page.3- Click Edit on an exam.4- Observe the opened page.</t>
  </si>
  <si>
    <t>Existing Exam</t>
  </si>
  <si>
    <t>The Edit Exam page opens successfully displaying the existing exam information.</t>
  </si>
  <si>
    <t>User enters edit mode.</t>
  </si>
  <si>
    <t>Clicking the "Edit" button opened the exam editing page successfully, shifting the interface into edit mode.</t>
  </si>
  <si>
    <t>TC_EXM_094</t>
  </si>
  <si>
    <t>FR-EXM-055</t>
  </si>
  <si>
    <t>Verify Exam Details Are Loaded Correctly in Edit Page</t>
  </si>
  <si>
    <t>Verify that all exam information is populated correctly in the edit form.</t>
  </si>
  <si>
    <t>Edit page is opened.</t>
  </si>
  <si>
    <t>1- Log in as Teacher/Admin.2- Open the Edit Exam page.3- Compare the displayed information with the original exam data.4- Observe all fields.</t>
  </si>
  <si>
    <t>All exam fields are populated correctly without missing or incorrect data.</t>
  </si>
  <si>
    <t>Edit form is ready for modification.</t>
  </si>
  <si>
    <t>All existing exam information and fields populated correctly inside the edit form without any missing or corrupted data.</t>
  </si>
  <si>
    <t>TC_EXM_095</t>
  </si>
  <si>
    <t>FR-EXM-056</t>
  </si>
  <si>
    <t>Verify Saving Edited Exam Updates Information Successfully</t>
  </si>
  <si>
    <t>Verify that modified exam information is saved successfully.</t>
  </si>
  <si>
    <t>1- Log in as Teacher/Admin.2- Open the Edit Exam page.3- Modify one or more editable fields.4- Click Save.5- Observe the result.</t>
  </si>
  <si>
    <t>Updated Title</t>
  </si>
  <si>
    <t>The updated information is saved successfully and reflected in the Exams Dashboard.</t>
  </si>
  <si>
    <t>Exam contains updated information.</t>
  </si>
  <si>
    <t xml:space="preserve"> When attempting to modify the exam information and clicking "Save", the system failed to update the record and displayed an error message stating: "حدث خطأ ما".</t>
  </si>
  <si>
    <t>TC_EXM_096</t>
  </si>
  <si>
    <t>FR-EXM-057</t>
  </si>
  <si>
    <t>Verify Start Exam Changes Exam Status to Active</t>
  </si>
  <si>
    <t>Verify that starting an exam changes its status correctly.</t>
  </si>
  <si>
    <t>Upcoming exam exists.</t>
  </si>
  <si>
    <t>1- Log in as Teacher/Admin.2- Open the Exams page.3- Click Start Exam.4- Observe the exam status.</t>
  </si>
  <si>
    <t>Upcoming Exam</t>
  </si>
  <si>
    <t>The exam status changes to Active and the available actions are updated accordingly.</t>
  </si>
  <si>
    <t>Exam becomes active.</t>
  </si>
  <si>
    <t>Clicking "Start Exam" successfully transitioned the exam status to "Active" and updated the available action buttons instantly.</t>
  </si>
  <si>
    <t>TC_EXM_097</t>
  </si>
  <si>
    <t>FR-EXM-058</t>
  </si>
  <si>
    <t>Verify End Exam Changes Exam Status to Finished</t>
  </si>
  <si>
    <t>Verify that ending an active exam updates its status correctly.</t>
  </si>
  <si>
    <t>Active exam exists.</t>
  </si>
  <si>
    <t>1- Log in as Teacher/Admin.2- Open the Exams page.3- Click End Exam.4- Confirm the action if prompted.5- Observe the exam status.</t>
  </si>
  <si>
    <t>Active Exam</t>
  </si>
  <si>
    <t>The exam status changes to Finished and the appropriate actions become available.</t>
  </si>
  <si>
    <t>Exam is marked as completed.</t>
  </si>
  <si>
    <t>Clicking "End Exam" successfully transitioned the active exam status to "Finished" and locked further modifications as expected.</t>
  </si>
  <si>
    <t>TC_EXM_098</t>
  </si>
  <si>
    <t>FR-EXM-059</t>
  </si>
  <si>
    <t>Verify View Submissions Opens Successfully</t>
  </si>
  <si>
    <t>Verify that clicking View Submissions opens the submissions page.</t>
  </si>
  <si>
    <t>An exam exists.</t>
  </si>
  <si>
    <t>1- Log in as Teacher/Admin.2- Open the Exams page.3- Click View Submissions.4- Observe the opened page.</t>
  </si>
  <si>
    <t>The Submissions page opens successfully showing available submissions or the appropriate empty state.</t>
  </si>
  <si>
    <t>User navigates to the submissions page.</t>
  </si>
  <si>
    <t>Clicking "View Submissions" successfully redirected the user and opened the submissions page without any routing issues.</t>
  </si>
  <si>
    <t>TC_EXM_099</t>
  </si>
  <si>
    <t>FR-EXM-060</t>
  </si>
  <si>
    <t>Verify Empty Submissions Page Is Displayed Correctly</t>
  </si>
  <si>
    <t>Verify that the empty state is displayed when no student submissions exist.</t>
  </si>
  <si>
    <t>Selected exam has no submissions.</t>
  </si>
  <si>
    <t>1- Log in as Teacher/Admin.2- Open the Exams page.3- Click View Submissions for an exam with no submissions.4- Observe the page.</t>
  </si>
  <si>
    <t>Zero Submissions</t>
  </si>
  <si>
    <t>An informative empty state is displayed without errors or broken UI components.</t>
  </si>
  <si>
    <t>User remains on the submissions page.</t>
  </si>
  <si>
    <t>The system successfully displayed a clean and informative empty state on the submissions page since the selected exam had no student submissions yet.</t>
  </si>
  <si>
    <t>TC_EXM_100</t>
  </si>
  <si>
    <t>FR-EXM-061</t>
  </si>
  <si>
    <t>Verify View Results Opens Successfully</t>
  </si>
  <si>
    <t>Verify that clicking View Results opens the exam results page successfully.</t>
  </si>
  <si>
    <t>Finished exam with released results exists.</t>
  </si>
  <si>
    <t>1- Log in as Teacher/Admin.2- Open the Exams page.3- Click View Results.4- Observe the opened page.</t>
  </si>
  <si>
    <t>Finished Exam</t>
  </si>
  <si>
    <t>The Results page opens successfully displaying the exam results without errors.</t>
  </si>
  <si>
    <t>User is redirected to the Results page.</t>
  </si>
  <si>
    <t>The system functions as expected and all related actions were verified successfully.</t>
  </si>
  <si>
    <t>TC_EXM_101</t>
  </si>
  <si>
    <t>FR-EXM-062</t>
  </si>
  <si>
    <t>Verify Delete Exam Removes Exam Successfully</t>
  </si>
  <si>
    <t>Verify that deleting an exam removes it from the Exams Dashboard.</t>
  </si>
  <si>
    <t>Existing exam available.</t>
  </si>
  <si>
    <t>1- Log in as Teacher/Admin.2- Open the Exams page.3- Click the Delete icon.4- Confirm the deletion.5- Observe the dashboard.</t>
  </si>
  <si>
    <t>The selected exam is deleted successfully and no longer appears in the Exams list.</t>
  </si>
  <si>
    <t>Exam record is permanently removed.</t>
  </si>
  <si>
    <t>TC_EXM_102</t>
  </si>
  <si>
    <t>FR-EXM-063</t>
  </si>
  <si>
    <t>Verify Deleted Exam Does Not Reappear After Refresh</t>
  </si>
  <si>
    <t>Verify that a deleted exam does not reappear after refreshing the page.</t>
  </si>
  <si>
    <t>Exam deleted successfully.</t>
  </si>
  <si>
    <t>1- Log in as Teacher/Admin.2- Delete an existing exam.3- Refresh the browser.4- Observe the Exams list.</t>
  </si>
  <si>
    <t>Deleted Exam</t>
  </si>
  <si>
    <t>The deleted exam does not appear after refreshing the page.</t>
  </si>
  <si>
    <t>Deleted record remains removed.</t>
  </si>
  <si>
    <t>TC_EXM_103</t>
  </si>
  <si>
    <t>FR-EXM-064</t>
  </si>
  <si>
    <t>Verify Double Clicking Start Exam Does Not Trigger Duplicate Requests</t>
  </si>
  <si>
    <t>Verify that rapidly clicking the Start Exam button multiple times does not trigger duplicate actions.</t>
  </si>
  <si>
    <t>1- Log in as Teacher/Admin.2- Open the Exams page.3- Double-click the Start Exam button rapidly.4- Observe the exam status.</t>
  </si>
  <si>
    <t>The exam starts only once without duplicate requests or unexpected behavior.</t>
  </si>
  <si>
    <t>Exam becomes active once.</t>
  </si>
  <si>
    <t>TC_EXM_104</t>
  </si>
  <si>
    <t>FR-EXM-065</t>
  </si>
  <si>
    <t>Verify Double Clicking End Exam Does Not Trigger Duplicate Requests</t>
  </si>
  <si>
    <t>Verify that rapidly clicking the End Exam button multiple times does not execute the action more than once.</t>
  </si>
  <si>
    <t>1- Log in as Teacher/Admin.2- Open the Exams page.3- Double-click the End Exam button rapidly.4- Observe the result.</t>
  </si>
  <si>
    <t>The exam ends successfully only once without duplicated operations.</t>
  </si>
  <si>
    <t>Exam status changes to Finished once.</t>
  </si>
  <si>
    <t>TC_EXM_105</t>
  </si>
  <si>
    <t>FR-EXM-066</t>
  </si>
  <si>
    <t>Verify Browser Refresh Preserves Selected Filter</t>
  </si>
  <si>
    <t>Verify that the system handles page refresh correctly after applying a filter.</t>
  </si>
  <si>
    <t>Multiple exam statuses exist.</t>
  </si>
  <si>
    <t>1- Log in as Teacher/Admin.2- Open the Exams page.3- Apply any status filter.4- Refresh the browser.5- Observe the displayed exams.</t>
  </si>
  <si>
    <t>Active Filter</t>
  </si>
  <si>
    <t>The page reloads correctly without UI issues and displays data according to the application's expected behavior.</t>
  </si>
  <si>
    <t>Dashboard reloads successfully.</t>
  </si>
  <si>
    <t>The page state is not maintained; reloading or refreshing the browser completely resets and clears the active filter, returning the dashboard to its default initial state.</t>
  </si>
  <si>
    <t>TC_EXM_106</t>
  </si>
  <si>
    <t>FR-EXM-067</t>
  </si>
  <si>
    <t>Verify Exam Card Displays Correct Information</t>
  </si>
  <si>
    <t>Verify that each exam card displays the correct exam information.</t>
  </si>
  <si>
    <t>1- Log in as Teacher/Admin.2- Open the Exams page.3- Review the displayed exam card information.4- Compare it with the stored exam data.</t>
  </si>
  <si>
    <t>The exam card displays the correct title, duration, difficulty, status, dates and available actions.</t>
  </si>
  <si>
    <t>Card information matches stored data.</t>
  </si>
  <si>
    <t>TC_EXM_107</t>
  </si>
  <si>
    <t>FR-EXM-068</t>
  </si>
  <si>
    <t>Verify User Cannot Access Deleted Exam Directly</t>
  </si>
  <si>
    <t>Verify that accessing a deleted exam using its previous URL is not allowed.</t>
  </si>
  <si>
    <t>Deleted exam URL is available.</t>
  </si>
  <si>
    <t>1- Log in as Teacher/Admin.2- Delete an existing exam.3- Navigate directly to the deleted exam URL.4- Observe the system response.</t>
  </si>
  <si>
    <t>Deleted Exam URL</t>
  </si>
  <si>
    <t>The system displays an appropriate error message or redirects the user instead of loading the deleted exam.</t>
  </si>
  <si>
    <t>Deleted exam remains inaccessible.</t>
  </si>
  <si>
    <t>TC_EXM_108</t>
  </si>
  <si>
    <t>FR-EXM-069</t>
  </si>
  <si>
    <t>Verify Concurrent Editing of the Same Exam</t>
  </si>
  <si>
    <t>Verify system behavior when the same exam is edited simultaneously from two browser tabs.</t>
  </si>
  <si>
    <t>Existing editable exam.</t>
  </si>
  <si>
    <t>1- Log in as Teacher/Admin.2- Open the same exam in two browser tabs.3- Modify the exam in the first tab and save.4- Modify the exam in the second tab and save.5- Observe the final result.</t>
  </si>
  <si>
    <t>The system handles concurrent updates according to business rules without corrupting exam data.</t>
  </si>
  <si>
    <t>Final exam data remains consistent.</t>
  </si>
  <si>
    <t>The system functions as expected and all related configurations were verified successfully without any errors.</t>
  </si>
  <si>
    <t>TC_EXM_109</t>
  </si>
  <si>
    <t>FR-EXM-070</t>
  </si>
  <si>
    <t>Verify Session Timeout While Managing Exams</t>
  </si>
  <si>
    <t>Verify that session expiration is handled correctly while managing exams.</t>
  </si>
  <si>
    <t>Session timeout configured.</t>
  </si>
  <si>
    <t>1- Log in as Teacher/Admin.2- Open the Exams page.3- Wait until the session expires.4- Click any action button.5- Observe the response.</t>
  </si>
  <si>
    <t>The user is redirected to the Login page or prompted to authenticate again before performing any action.</t>
  </si>
  <si>
    <t>Unauthorized actions are prevented.</t>
  </si>
  <si>
    <t>TC_EXM_110</t>
  </si>
  <si>
    <t>FR-EXM-071</t>
  </si>
  <si>
    <t>Verify Exams Dashboard Handles Slow Network Gracefully</t>
  </si>
  <si>
    <t>Verify that the Exams Dashboard behaves correctly under a slow network connection.</t>
  </si>
  <si>
    <t>Slow network simulation available.</t>
  </si>
  <si>
    <t>1- Log in as Teacher/Admin.2- Simulate Slow 3G network.3- Open the Exams page.4- Perform search, filter and open an exam.5- Observe the application behavior.</t>
  </si>
  <si>
    <t>Slow 3G Network</t>
  </si>
  <si>
    <t>The system loads data correctly, displays loading indicators where applicable, and does not produce UI or functional errors.</t>
  </si>
  <si>
    <t>Dashboard remains stable under poor network conditions.</t>
  </si>
  <si>
    <t>tc-01</t>
  </si>
  <si>
    <t>Balance &amp; Payment</t>
  </si>
  <si>
    <t>BAL-01</t>
  </si>
  <si>
    <t>Admin Payment Added to Balance</t>
  </si>
  <si>
    <t>Verify that redeeming a valid payment code by the Head/Admin correctly increases the tenant balance.</t>
  </si>
  <si>
    <t>1. A Head/Admin account exists.
2. The tenant balance is 0 EGP.
3. A valid unused payment code worth 100 EGP exists.</t>
  </si>
  <si>
    <t>1. Log in as the Head/Admin.
2. Navigate to the Balance page.
3. Redeem the valid payment code.
4. Refresh the Balance page.</t>
  </si>
  <si>
    <t>1. The payment code is redeemed successfully.
2. The tenant balance increases by 100 EGP.
3. The displayed balance is 100 EGP.
4. The redeemed payment code is marked as Redeemed.
5. The balance update is reflected immediately after refresh.</t>
  </si>
  <si>
    <t>abdelhamid anwer</t>
  </si>
  <si>
    <t>tc-02</t>
  </si>
  <si>
    <t xml:space="preserve"> Multiple Admin Payment Codes</t>
  </si>
  <si>
    <t>Verify that the tenant balance is updated correctly when the Head/Admin redeems multiple valid payment codes.</t>
  </si>
  <si>
    <t>1. A Head/Admin account exists.
2. The tenant balance is 0 EGP.
3. Three valid unused payment codes exist with values of 100 EGP, 150 EGP, and 200 EGP.</t>
  </si>
  <si>
    <t>1. Log in as the Head/Admin.
2. Navigate to the Balance page.
3. Redeem the first payment code.
4. Redeem the second payment code.
5. Redeem the third payment code.
6. Refresh the Balance page.</t>
  </si>
  <si>
    <t>1. All three payment codes are redeemed successfully.
2. The tenant balance increases by 450 EGP.
3. The displayed balance is 450 EGP.
4. Each payment code is recorded successfully.</t>
  </si>
  <si>
    <t>tc-03</t>
  </si>
  <si>
    <t>Student Payment Added</t>
  </si>
  <si>
    <t>Verify that the tenant balance increases when a student joins using a valid payment code.</t>
  </si>
  <si>
    <t>1. The tenant uses the payment-based enrollment model.
2. A valid unused payment code worth 150 EGP exists.
3. The student is not already registered.</t>
  </si>
  <si>
    <t xml:space="preserve">
1. Open the student registration page.
2. Enter valid student information.
3. Enter the valid payment code.
4. Complete the registration.
5. Log in as the Head/Admin.
6. Navigate to the Balance page.</t>
  </si>
  <si>
    <t>1. The student account is created successfully.
2. The payment code is redeemed successfully.
3. The tenant balance increases by 150 EGP.
4. The updated balance is displayed correctly.</t>
  </si>
  <si>
    <t>tc-04</t>
  </si>
  <si>
    <t>Combined Balance Calculation</t>
  </si>
  <si>
    <t>Verify that the tenant balance equals the sum of payment codes redeemed by both the Head/Admin and students.</t>
  </si>
  <si>
    <t>1. The Head/Admin has redeemed payment codes totaling 300 EGP.
2. Two students have redeemed payment codes totaling 250 EGP.</t>
  </si>
  <si>
    <t>1. Log in as the Head/Admin.
2. Navigate to the Balance page.</t>
  </si>
  <si>
    <t>1. The displayed balance is 550 EGP.
2. The balance includes both Admin and student payment code values.
3. The balance calculation is accurate.</t>
  </si>
  <si>
    <t>tc-05</t>
  </si>
  <si>
    <t>Zero Initial Balance</t>
  </si>
  <si>
    <t>Verify that a newly created tenant has a balance of zero before any payment code is redeemed.</t>
  </si>
  <si>
    <t>1. A new tenant has been created.
2. No payment codes have been redeemed.</t>
  </si>
  <si>
    <t>1. The displayed balance is 0 EGP.
2. No payment transactions are displayed.</t>
  </si>
  <si>
    <t>you can't intiate any platform without a balance</t>
  </si>
  <si>
    <t>Rejected</t>
  </si>
  <si>
    <t>tc-06</t>
  </si>
  <si>
    <t xml:space="preserve"> Failed Redemption Does Not Affect Balance</t>
  </si>
  <si>
    <t>Verify that an unsuccessful payment code redemption does not change the tenant balance.</t>
  </si>
  <si>
    <t>1. The tenant balance is 300 EGP.
2. An invalid payment code is available.</t>
  </si>
  <si>
    <t>1. Log in as the Head/Admin.
2. Navigate to the payment redemption page.
3. Enter the invalid payment code.
4. Submit the redemption request.
5. Navigate to the Balance page.</t>
  </si>
  <si>
    <t>1. The redemption request is rejected.
2. An appropriate validation message is displayed.
3. The tenant balance remains 300 EGP.
4. No payment transaction is created.</t>
  </si>
  <si>
    <t>tc-07</t>
  </si>
  <si>
    <t>Other Tenant Payments Excluded</t>
  </si>
  <si>
    <t>Verify that payment codes redeemed for another tenant are not included in the current tenant's balance.</t>
  </si>
  <si>
    <t>1. Tenant A has redeemed payment codes totaling 200 EGP.
2. Tenant B has redeemed payment codes totaling 350 EGP.</t>
  </si>
  <si>
    <t>1. Log in as the Head/Admin of Tenant A.
2. Navigate to the Balance page.
3. Record the displayed balance.
4. Log in as the Head/Admin of Tenant B.
5. Navigate to the Balance page.</t>
  </si>
  <si>
    <t>1. Tenant A balance is 200 EGP.
2. Tenant B balance is 350 EGP.
3. Each tenant displays only its own balance.</t>
  </si>
  <si>
    <t>tc-08</t>
  </si>
  <si>
    <t>BAL-02</t>
  </si>
  <si>
    <t>Successful Student Redemption</t>
  </si>
  <si>
    <t>Verify that a student can successfully redeem a valid payment code and that the payment value is credited to the tenant balance while both payment records are marked as Redeemed.</t>
  </si>
  <si>
    <t>1. The tenant uses the payment-based enrollment model.
2. A valid unused payment code exists.
3. The student is not already registered.
4. The payment code belongs to the tenant.</t>
  </si>
  <si>
    <t>1. Open the student registration page.
2. Enter valid student information.
3. Enter the valid payment code.
4. Submit the registration.
5. Log in as the Head/Admin.
6. Navigate to the Balance page.
7. Check the payment records.</t>
  </si>
  <si>
    <t>1. The student account is created successfully.
2. The payment code is redeemed successfully.
3. The tenant balance increases by the payment code value.
4. The global payment record status is changed to Redeemed.
5. The tenant payment record status is changed to Redeemed.</t>
  </si>
  <si>
    <t>tc-10</t>
  </si>
  <si>
    <t>Redeemed Payment Code</t>
  </si>
  <si>
    <t>Verify that a payment code that has already been redeemed cannot be used again.</t>
  </si>
  <si>
    <t>1. A payment code already exists with the status Redeemed.</t>
  </si>
  <si>
    <t>1. Open the student registration page.
2. Enter valid student information.
3. Enter the redeemed payment code.
4. Submit the registration.</t>
  </si>
  <si>
    <t>1. The registration is rejected.
2. An appropriate validation message is displayed.
3. The tenant balance remains unchanged.
4. The payment records remain unchanged.</t>
  </si>
  <si>
    <t>tc-11</t>
  </si>
  <si>
    <t>Balance Updated</t>
  </si>
  <si>
    <t>Verify that the tenant balance is updated by the exact payment code value after a successful redemption.</t>
  </si>
  <si>
    <t>1. The tenant balance is 500 EGP.
2. A valid unused payment code worth 150 EGP exists.</t>
  </si>
  <si>
    <t>1. Register a student using the valid payment code.
2. Log in as the Head/Admin.
3. Navigate to the Balance page.</t>
  </si>
  <si>
    <t>1. The tenant balance becomes 650 EGP.
2. The displayed balance is calculated correctly.</t>
  </si>
  <si>
    <t>tc-12</t>
  </si>
  <si>
    <t>BAL-03</t>
  </si>
  <si>
    <t>Valid Payment Code</t>
  </si>
  <si>
    <t>Verify that the Head/Admin can successfully redeem a valid unused payment code and the balance is updated.</t>
  </si>
  <si>
    <t>1. A Head/Admin account exists.
2. A valid unused payment code exists.
3. The tenant balance is 0 EGP.</t>
  </si>
  <si>
    <t>1. Log in as the Head/Admin.
2. Navigate to the Payment Code page.
3. Enter the valid payment code.
4. Submit the payment code.
5. Navigate to the Balance page.</t>
  </si>
  <si>
    <t>1. The payment code is accepted.
2. The payment code is marked as Redeemed.
3. The tenant balance increases by the payment code value.
4. A success message is displayed.</t>
  </si>
  <si>
    <t>tc-13</t>
  </si>
  <si>
    <t>Duplicate Payment Code</t>
  </si>
  <si>
    <t>Verify that duplicate payment codes are not accepted because payment codes must be globally unique.</t>
  </si>
  <si>
    <t>1. A payment code already exists in the system.
2. The payment code has already been generated.</t>
  </si>
  <si>
    <t>1. Log in as the Head/Admin.
2. Navigate to the Payment Code page.
3. Enter the duplicate payment code.
4. Submit the payment code.</t>
  </si>
  <si>
    <t>1. The payment code is rejected.
2. An appropriate validation message is displayed.
3. The tenant balance remains unchanged.</t>
  </si>
  <si>
    <t>tc-14</t>
  </si>
  <si>
    <t>Balance Updated Correctly</t>
  </si>
  <si>
    <t>Verify that the institution balance increases by the exact value of the redeemed payment code.</t>
  </si>
  <si>
    <t>1. The tenant balance is 400 EGP.
2. A valid unused payment code worth 250 EGP exists.</t>
  </si>
  <si>
    <t>1. Log in as the Head/Admin.
2. Redeem the valid payment code.
3. Navigate to the Balance page.</t>
  </si>
  <si>
    <t>1. The payment code is redeemed successfully.
2. The tenant balance becomes 650 EGP.
3. The displayed balance is accurate.</t>
  </si>
  <si>
    <t>tc-15</t>
  </si>
  <si>
    <t>Empty Payment Code</t>
  </si>
  <si>
    <t>Verify that the system does not allow submitting an empty payment code.</t>
  </si>
  <si>
    <t>1. A Head/Admin account exists.</t>
  </si>
  <si>
    <t>1. Log in as the Head/Admin.
2. Navigate to the Payment Code page.
3. Leave the payment code field empty.
4. Click Submit.</t>
  </si>
  <si>
    <t>1. The payment code is not submitted.
2. A validation message indicates that the payment code is required.
3. The tenant balance remains unchanged.</t>
  </si>
  <si>
    <t>Actual: Expected behavior not met. See bug report.</t>
  </si>
  <si>
    <t>tc-16</t>
  </si>
  <si>
    <t>Invalid Payment Code Format</t>
  </si>
  <si>
    <t>Verify that the system rejects payment codes with an invalid format.</t>
  </si>
  <si>
    <t>1. Log in as the Head/Admin.
2. Navigate to the Payment Code page.
3. Enter a payment code with an invalid format (e.g., ABC123).
4. Click Submit.</t>
  </si>
  <si>
    <t>tc-17</t>
  </si>
  <si>
    <t>BAL-04</t>
  </si>
  <si>
    <t>Redeem Unused Payment Code</t>
  </si>
  <si>
    <t>Verify that an unused payment code can be redeemed successfully for the first time.</t>
  </si>
  <si>
    <t>1. A valid unused payment code exists.
2. The payment code has not been redeemed by any tenant or user.</t>
  </si>
  <si>
    <t>1. Log in as the Head/Admin.
2. Navigate to the Payment Code page.
3. Enter the valid payment code.
4. Click Submit.</t>
  </si>
  <si>
    <t>1. The payment code is redeemed successfully.
2. The payment code status changes to Redeemed.
3. The tenant balance is updated.
4. A success message is displayed.</t>
  </si>
  <si>
    <t>tc-18</t>
  </si>
  <si>
    <t>Simultaneous Redemption Attempt</t>
  </si>
  <si>
    <t>Verify that the system allows only one successful redemption when two users attempt to redeem the same payment code at the same time.</t>
  </si>
  <si>
    <t>1. A valid unused payment code exists.
2. Two users have access to redeem the same payment code.
3. Both users are on the payment code redemption page.</t>
  </si>
  <si>
    <t>1. User A enters the payment code.
2. User B enters the same payment code.
3. Both users submit the redemption request simultaneously.
4. Check the redemption status and tenant balances.</t>
  </si>
  <si>
    <t>1. Only one redemption request is completed successfully.
2. The second redemption request is rejected.
3. The payment code is marked as Redeemed only once.
4. Only one tenant balance is updated.
5. No duplicate payment records are created.</t>
  </si>
  <si>
    <t>tc-19</t>
  </si>
  <si>
    <t xml:space="preserve"> Redeem Across Different Tenants</t>
  </si>
  <si>
    <t>Verify that a payment code redeemed in one tenant cannot be redeemed in another tenant.</t>
  </si>
  <si>
    <t>1. Tenant A has already redeemed a payment code.
2. Tenant B is active.
3. The same payment code is available to test.</t>
  </si>
  <si>
    <t>1. Log in as the Head/Admin of Tenant B.
2. Navigate to the Payment Code page.
3. Enter the payment code redeemed by Tenant A.
4. Click Submit.</t>
  </si>
  <si>
    <t>1. The payment code is rejected.
2. A validation message indicates the payment code has already been redeemed.
3. Tenant B's balance remains unchanged.</t>
  </si>
  <si>
    <t>tc-20</t>
  </si>
  <si>
    <t>BAL-05</t>
  </si>
  <si>
    <t>Display Unused Status</t>
  </si>
  <si>
    <t>Verify that a newly generated payment code is displayed with the status "Unused".</t>
  </si>
  <si>
    <t>1. A valid payment code has been generated.
2. The payment code has not been redeemed.</t>
  </si>
  <si>
    <t>1. Log in as the Head/Admin.
2. Navigate to the Payment Codes page.
3. Locate the newly generated payment code.</t>
  </si>
  <si>
    <t>1. The payment code status is displayed as "Unused".
2. The status is displayed correctly in the payment codes list.</t>
  </si>
  <si>
    <t>tc-21</t>
  </si>
  <si>
    <t>Display Redeemed Status</t>
  </si>
  <si>
    <t>Verify that a redeemed payment code is displayed with the status "Redeemed".</t>
  </si>
  <si>
    <t>1. A payment code has been redeemed successfully.</t>
  </si>
  <si>
    <t>1. Log in as the Head/Admin.
2. Navigate to the Payment Codes page.
3. Locate the redeemed payment code.</t>
  </si>
  <si>
    <t xml:space="preserve">
1. The payment code status is displayed as "Redeemed".
2. The status is displayed correctly in the payment codes list.</t>
  </si>
  <si>
    <t>tc-22</t>
  </si>
  <si>
    <t>Status Updated After Redemption</t>
  </si>
  <si>
    <t>Verify that the payment code status changes from "Unused" to "Redeemed" immediately after a successful redemption.</t>
  </si>
  <si>
    <t>1. A valid payment code exists with the status "Unused".</t>
  </si>
  <si>
    <t>1. Redeem the payment code successfully.
2. Navigate to the Payment Codes page.
3. Locate the redeemed payment code.</t>
  </si>
  <si>
    <t>1. The payment code status changes from "Unused" to "Redeemed".
2. The updated status is displayed without inconsistencies.</t>
  </si>
  <si>
    <t>tc-23</t>
  </si>
  <si>
    <t>Invalid Status Display</t>
  </si>
  <si>
    <t>Verify that the system displays only the supported lifecycle statuses for payment codes.</t>
  </si>
  <si>
    <t>1. Payment codes exist in the system with different lifecycle states.</t>
  </si>
  <si>
    <t>1. Log in as the Head/Admin.
2. Navigate to the Payment Codes page.
3. Review the displayed status of all payment codes.</t>
  </si>
  <si>
    <t>1. Every payment code displays either "Unused" or "Redeemed".
2. No unsupported status values (such as Pending, Active, Null, or blank) are displayed.</t>
  </si>
  <si>
    <t>tc-24</t>
  </si>
  <si>
    <t>BAL-06</t>
  </si>
  <si>
    <t xml:space="preserve"> Valid Payment Code Format</t>
  </si>
  <si>
    <t>Verify that generated payment codes follow the required global format.</t>
  </si>
  <si>
    <t>1. A payment code has been generated by the system.</t>
  </si>
  <si>
    <t>1. Log in as the Head/Admin.
2. Navigate to the Payment Codes page.
3. Locate the generated payment code.
4. Verify its format.</t>
  </si>
  <si>
    <t>1. The payment code follows the required format (e.g., PAY-2025-XKQT).
2. No extra or missing characters are present.
3. The payment code format is consistent across generated codes.</t>
  </si>
  <si>
    <t>tc-25</t>
  </si>
  <si>
    <t>Verify that the system rejects payment codes that do not follow the required format.</t>
  </si>
  <si>
    <t>1. A payment code with an invalid format is available.</t>
  </si>
  <si>
    <t>1. Log in as the Head/Admin.
2. Navigate to the Payment Code page.
3. Enter a payment code with an invalid format.
4. Submit the payment code.</t>
  </si>
  <si>
    <t>1. The payment code is rejected.
2. An appropriate validation message is displayed.
3. No changes are made to the tenant balance.</t>
  </si>
  <si>
    <t>tc-26</t>
  </si>
  <si>
    <t>Shared Payment Record</t>
  </si>
  <si>
    <t>Verify that payment codes are stored in the shared payments table and can be referenced across tenants.</t>
  </si>
  <si>
    <t>1. Two tenants exist in the system.
2. A payment code has been generated and stored.</t>
  </si>
  <si>
    <t>1. Generate or retrieve a payment code.
2. Access the payment record through the shared payments table.
3. Verify the payment code information.</t>
  </si>
  <si>
    <t>1. The payment code exists in the shared payments table.
2. The payment code is stored only once.
3. The payment record can be referenced by all tenants.</t>
  </si>
  <si>
    <t>tc-27</t>
  </si>
  <si>
    <t>Shared Record Integrity</t>
  </si>
  <si>
    <t>Verify that updates to a payment code are reflected consistently in the shared payments table.</t>
  </si>
  <si>
    <t>1. A payment code exists in the shared payments table.
2. The payment code status is Unused.</t>
  </si>
  <si>
    <t>1. Redeem the payment code.
2. Retrieve the payment record from the shared payments table.</t>
  </si>
  <si>
    <t>1. The payment code status is updated to Redeemed.
2. The updated status is reflected consistently wherever the payment record is accessed.
3. No duplicate payment records are created.</t>
  </si>
  <si>
    <t>tc-28</t>
  </si>
  <si>
    <t>BAL-07</t>
  </si>
  <si>
    <t>Submit Valid Withdrawal Request</t>
  </si>
  <si>
    <t>Verify that the Head/Admin can successfully submit a withdrawal request with valid information.</t>
  </si>
  <si>
    <t>1. A Head/Admin account exists.
2. The tenant has a sufficient balance.
3. The withdrawal feature is enabled.</t>
  </si>
  <si>
    <t>1. Log in as the Head/Admin.
2. Navigate to the Withdrawal page.
3. Enter a valid withdrawal amount.
4. Select "Vodafone Cash" as the recipient account type.
5. Enter valid account details.
6. Submit the withdrawal request.</t>
  </si>
  <si>
    <t>1. The withdrawal request is submitted successfully.
2. A confirmation message is displayed.
3. The request is created successfully.</t>
  </si>
  <si>
    <t>tc-29</t>
  </si>
  <si>
    <t>Required Withdrawal Fields</t>
  </si>
  <si>
    <t>Verify that the system requires all mandatory withdrawal request fields.</t>
  </si>
  <si>
    <t>1. Log in as the Head/Admin.
2. Navigate to the Withdrawal page.
3. Leave one or more required fields empty.
4. Submit the withdrawal request.</t>
  </si>
  <si>
    <t>1. The withdrawal request is not submitted.
2. Validation messages are displayed for all required fields.</t>
  </si>
  <si>
    <t>tc-30</t>
  </si>
  <si>
    <t>Invalid Recipient Account</t>
  </si>
  <si>
    <t>Verify that the system rejects an unsupported recipient account type.</t>
  </si>
  <si>
    <t>1. Log in as the Head/Admin.
2. Navigate to the Withdrawal page.
3. Enter a valid withdrawal amount.
4. Attempt to enter or select an unsupported account type.
5. Submit the request.</t>
  </si>
  <si>
    <t>1. The withdrawal request is rejected.
2. An appropriate validation message is displayed.
3. Only Vodafone Cash, Fawry, and Visa are accepted.</t>
  </si>
  <si>
    <t>tc-31</t>
  </si>
  <si>
    <t>Invalid Account Details</t>
  </si>
  <si>
    <t>Verify that the system rejects invalid recipient account details.</t>
  </si>
  <si>
    <t>1. Log in as the Head/Admin.
2. Navigate to the Withdrawal page.
3. Enter a valid withdrawal amount.
4. Select a valid recipient account type.
5. Enter invalid account details.
6. Submit the request.</t>
  </si>
  <si>
    <t>1. The withdrawal request is rejected.
2. An appropriate validation message is displayed.
3. The request is not created.</t>
  </si>
  <si>
    <t>tc-32</t>
  </si>
  <si>
    <t xml:space="preserve"> Insufficient Balance</t>
  </si>
  <si>
    <t>Verify that a withdrawal request cannot be submitted for an amount greater than the available institution balance.</t>
  </si>
  <si>
    <t>1. A Head/Admin account exists.
2. The institution balance is 500 EGP.</t>
  </si>
  <si>
    <t>1. Log in as the Head/Admin.
2. Navigate to the Withdrawal page.
3. Enter a withdrawal amount of 600 EGP.
4. Select a valid recipient account type.
5. Enter valid account details.
6. Submit the request.</t>
  </si>
  <si>
    <t>1. The withdrawal request is rejected.
2. An appropriate validation message is displayed.
3. No withdrawal request is created.</t>
  </si>
  <si>
    <t>tc-33</t>
  </si>
  <si>
    <t>BAL-08</t>
  </si>
  <si>
    <t xml:space="preserve"> Pending Withdrawal Request</t>
  </si>
  <si>
    <t>Verify that a newly submitted withdrawal request is assigned the "Pending" status.</t>
  </si>
  <si>
    <t>1. A valid withdrawal request has been submitted.</t>
  </si>
  <si>
    <t>1. Log in as the Superuser.
2. Navigate to the Withdrawal Requests page.
3. Locate the newly submitted withdrawal request.</t>
  </si>
  <si>
    <t>1. The withdrawal request is displayed.
2. The request status is "Pending".
3. No approval or rejection action has been applied.</t>
  </si>
  <si>
    <t>tc-34</t>
  </si>
  <si>
    <t>Approve Withdrawal Request</t>
  </si>
  <si>
    <t>Verify that the Superuser can approve a pending withdrawal request.</t>
  </si>
  <si>
    <t>1. A withdrawal request exists with the status "Pending".
2. A Superuser account exists.</t>
  </si>
  <si>
    <t>1. Log in as the Superuser.
2. Navigate to the Withdrawal Requests page.
3. Select a pending withdrawal request.
4. Click Approve.
5. Confirm the action.</t>
  </si>
  <si>
    <t>1. The withdrawal request status changes to "Approved".
2. The approval is saved successfully.
3. The request is no longer displayed as Pending.</t>
  </si>
  <si>
    <t>tc-35</t>
  </si>
  <si>
    <t>Reject Withdrawal Request</t>
  </si>
  <si>
    <t>Verify that the Superuser can reject a pending withdrawal request by providing a reason.</t>
  </si>
  <si>
    <t>1. Log in as the Superuser.
2. Navigate to the Withdrawal Requests page.
3. Select a pending withdrawal request.
4. Click Reject.
5. Enter a rejection reason.
6. Confirm the action.</t>
  </si>
  <si>
    <t>1. The withdrawal request status changes to "Rejected".
2. The rejection reason is saved.
3. The request is no longer displayed as Pending.</t>
  </si>
  <si>
    <t>tc-36</t>
  </si>
  <si>
    <t>Reject Without Reason</t>
  </si>
  <si>
    <t>Verify that the system prevents the Superuser from rejecting a withdrawal request without providing a reason.</t>
  </si>
  <si>
    <t>1. Log in as the Superuser.
2. Navigate to the Withdrawal Requests page.
3. Select a pending withdrawal request.
4. Click Reject.
5. Leave the rejection reason empty.
6. Confirm the action.</t>
  </si>
  <si>
    <t>1. The rejection is not completed.
2. A validation message indicates that the rejection reason is required.
3. The withdrawal request remains in the "Pending" status.</t>
  </si>
  <si>
    <t>tc-37</t>
  </si>
  <si>
    <t>BAL-09</t>
  </si>
  <si>
    <t xml:space="preserve"> Renew Subscription Using Balance</t>
  </si>
  <si>
    <t>Verify that the Head/Admin can renew the subscription using the available institution balance.</t>
  </si>
  <si>
    <t>1. A Head/Admin account exists.
2. The institution balance is sufficient to cover the renewal cost.
3. The subscription is eligible for renewal.</t>
  </si>
  <si>
    <t>1. Log in as the Head/Admin.
2. Navigate to the Subscription page.
3. Select the subscription renewal option.
4. Choose to pay using the institution balance.
5. Confirm the renewal.</t>
  </si>
  <si>
    <t>1. The subscription is renewed successfully.
2. The renewal amount is deducted from the institution balance.
3. No payment code is requested.
4. A confirmation message is displayed.</t>
  </si>
  <si>
    <t>tc-38</t>
  </si>
  <si>
    <t>Renewal Without Payment Code</t>
  </si>
  <si>
    <t>Verify that a payment code is not required when renewing a subscription using the institution balance.</t>
  </si>
  <si>
    <t>1. A Head/Admin account exists.
2. The institution balance is sufficient for renewal.
3. The subscription is eligible for renewal.</t>
  </si>
  <si>
    <t>1. Log in as the Head/Admin.
2. Navigate to the Subscription page.
3. Select the subscription renewal option.
4. Choose to pay using the institution balance.
5. Complete the renewal without entering a payment code.</t>
  </si>
  <si>
    <t>1. The subscription is renewed successfully.
2. No payment code is requested during the process.
3. The renewal amount is deducted from the institution balance.</t>
  </si>
  <si>
    <t>tc-39</t>
  </si>
  <si>
    <t>BAL-10</t>
  </si>
  <si>
    <t>Redeem Code via Self-Service</t>
  </si>
  <si>
    <t>Verify that a student can redeem a valid payment code through the dedicated self-service endpoint.</t>
  </si>
  <si>
    <t>1. A student account exists.
2. A valid unused payment code exists.
3. The payment code belongs to the student's tenant.</t>
  </si>
  <si>
    <t>1. Log in as the student.
2. Access the payment code redemption page.
3. Enter the valid payment code.
4. Submit the redemption request.</t>
  </si>
  <si>
    <t>1. The payment code is redeemed successfully.
2. The self-service request is completed successfully.
3. A success message is displayed.</t>
  </si>
  <si>
    <t>tc-40</t>
  </si>
  <si>
    <t xml:space="preserve"> Link Payment Code to Student</t>
  </si>
  <si>
    <t>Verify that the redeemed payment code is linked to the correct student profile.</t>
  </si>
  <si>
    <t>1. A student account exists.
2. A valid unused payment code exists.</t>
  </si>
  <si>
    <t>1. Log in as the student.
2. Redeem the payment code.
3. View the student's payment history or profile.</t>
  </si>
  <si>
    <t>1. The redeemed payment code is associated with the correct student profile.
2. No other student's profile is linked to the payment code.</t>
  </si>
  <si>
    <t>tc-41</t>
  </si>
  <si>
    <t>BAL-11</t>
  </si>
  <si>
    <t xml:space="preserve"> Available Subdomain</t>
  </si>
  <si>
    <t>Verify that the system accepts an available subdomain during institution application.</t>
  </si>
  <si>
    <t>1. The institution application page is accessible.
2. The entered subdomain does not exist.</t>
  </si>
  <si>
    <t>1. Open the institution application page.
2. Enter a unique subdomain.
3. Wait for the real-time validation.
4. Submit the application.</t>
  </si>
  <si>
    <t>1. The subdomain is marked as available.
2. The application is accepted.
3. No subdomain conflict message is displayed.</t>
  </si>
  <si>
    <t>tc-42</t>
  </si>
  <si>
    <t>Existing Subdomain</t>
  </si>
  <si>
    <t>Verify that the system rejects a subdomain that is already in use.</t>
  </si>
  <si>
    <t>1. An institution already exists with the subdomain.</t>
  </si>
  <si>
    <t>1. Open the institution application page.
2. Enter the existing subdomain.
3. Wait for the real-time validation.</t>
  </si>
  <si>
    <t>1. The subdomain is marked as unavailable.
2. A validation message is displayed.
3. The application cannot be submitted until a unique subdomain is entered.</t>
  </si>
  <si>
    <t>tc-43</t>
  </si>
  <si>
    <t>Real-Time Validation</t>
  </si>
  <si>
    <t>Verify that subdomain availability is validated immediately as the user enters the subdomain.</t>
  </si>
  <si>
    <t>1. The institution application page is accessible.</t>
  </si>
  <si>
    <t>1. Open the institution application page.
2. Enter a subdomain character by character.
3. Observe the validation response.</t>
  </si>
  <si>
    <t>1. The system validates the subdomain without requiring form submission.
2. The availability status is updated in real time.</t>
  </si>
  <si>
    <t>tc-44</t>
  </si>
  <si>
    <t>Change Unavailable Subdomain</t>
  </si>
  <si>
    <t>Verify that changing an unavailable subdomain to a unique one updates the validation result.</t>
  </si>
  <si>
    <t>1. An existing subdomain is already registered.</t>
  </si>
  <si>
    <t>1. Open the institution application page.
2. Enter an existing subdomain.
3. Verify that it is marked as unavailable.
4. Replace it with a unique subdomain.
5. Wait for the validation result.</t>
  </si>
  <si>
    <t>1. The unavailable status is cleared.
2. The new subdomain is marked as available.
3. The application can be submitted.</t>
  </si>
  <si>
    <t>tc-45</t>
  </si>
  <si>
    <t>Empty Subdomain</t>
  </si>
  <si>
    <t>Verify that the system validates the subdomain field when it is left empty.</t>
  </si>
  <si>
    <t>1. Open the institution application page.
2. Leave the subdomain field empty.
3. Attempt to submit the application.</t>
  </si>
  <si>
    <t>1. The application is not submitted.
2. A validation message indicates that the subdomain is required.</t>
  </si>
  <si>
    <t>tc-46</t>
  </si>
  <si>
    <t>SUB-01</t>
  </si>
  <si>
    <t>View Subscription Details</t>
  </si>
  <si>
    <t>Verify that the Head/Admin can view the current subscription details from the tenant portal.</t>
  </si>
  <si>
    <t>1. A Head/Admin account exists.
2. An active subscription exists for the tenant.</t>
  </si>
  <si>
    <t>1. Log in as the Head/Admin.
2. Navigate to the Subscription page.</t>
  </si>
  <si>
    <t>1. The current plan is displayed.
2. The current tier is displayed.
3. The billing cycle is displayed.
4. The subscription start date is displayed.
5. The subscription expiry date is displayed.
6. The current subscription status is displayed.</t>
  </si>
  <si>
    <t>tc-47</t>
  </si>
  <si>
    <t>Display Correct Subscription Information</t>
  </si>
  <si>
    <t>Verify that the displayed subscription information matches the subscription record.</t>
  </si>
  <si>
    <t>1. A Head/Admin account exists.
2. A subscription record exists with known values.</t>
  </si>
  <si>
    <t>1. Log in as the Head/Admin.
2. Navigate to the Subscription page.
3. Compare the displayed subscription information with the subscription record.</t>
  </si>
  <si>
    <t>1. The displayed plan matches the subscription record.
2. The displayed tier matches the subscription record.
3. The displayed billing cycle matches the subscription record.
4. The displayed dates match the subscription record.
5. The displayed status matches the subscription record.</t>
  </si>
  <si>
    <t>tc-48</t>
  </si>
  <si>
    <t xml:space="preserve"> Unauthorized Subscription Access</t>
  </si>
  <si>
    <t>Verify that users without Head/Admin permissions cannot access the subscription details.</t>
  </si>
  <si>
    <t>1. A student or unauthorized user account exists.
2. A subscription exists for the tenant.</t>
  </si>
  <si>
    <t>1. Log in as the student or unauthorized user.
2. Attempt to access the Subscription page.</t>
  </si>
  <si>
    <t>1. Access to the Subscription page is denied or restricted.
2. Subscription details are not displayed.
3. An appropriate authorization message is displayed, if applicable.</t>
  </si>
  <si>
    <t>tc-49</t>
  </si>
  <si>
    <t>SUB-02</t>
  </si>
  <si>
    <t>Create Subscription Record</t>
  </si>
  <si>
    <t>Verify that a subscription record is automatically created when a new tenant is provisioned.</t>
  </si>
  <si>
    <t>1. The system is available.
2. A new tenant is ready to be provisioned.</t>
  </si>
  <si>
    <t>1. Provision a new tenant.
2. Retrieve the subscription record.</t>
  </si>
  <si>
    <t>1. A subscription record is created successfully.
2. The subscription record is associated with the correct tenant.</t>
  </si>
  <si>
    <t>tc-50</t>
  </si>
  <si>
    <t>Verify Subscription Dates</t>
  </si>
  <si>
    <t>Verify that the subscription record contains the correct start date and end date upon tenant provisioning.</t>
  </si>
  <si>
    <t>1. A new tenant is ready to be provisioned.</t>
  </si>
  <si>
    <t>1. Provision the tenant.
2. Retrieve the subscription record.
3. Review the start date and end date.</t>
  </si>
  <si>
    <t>tc-51</t>
  </si>
  <si>
    <t>Verify Plan Information</t>
  </si>
  <si>
    <t>Verify that the correct plan, tier, and billing cycle are stored in the subscription record during tenant provisioning.</t>
  </si>
  <si>
    <t>1. A new tenant is ready to be provisioned.
2. A subscription plan has been selected.</t>
  </si>
  <si>
    <t>tc-52</t>
  </si>
  <si>
    <t>One Subscription Record Per Tenant</t>
  </si>
  <si>
    <t>Verify that only one subscription record is created for a tenant during provisioning.</t>
  </si>
  <si>
    <t>1. Provision the tenant.
2. Retrieve all subscription records associated with the tenant.</t>
  </si>
  <si>
    <t>1. Only one subscription record exists for the tenant.
2. No duplicate subscription records are created.</t>
  </si>
  <si>
    <t>tc-53</t>
  </si>
  <si>
    <t>SUB-03</t>
  </si>
  <si>
    <t xml:space="preserve"> Upgrade Subscription Plan</t>
  </si>
  <si>
    <t>Verify that the Head/Admin can upgrade the subscription plan during renewal.</t>
  </si>
  <si>
    <t>1. A Head/Admin account exists.
2. An active subscription exists.
3. A higher subscription plan is available.</t>
  </si>
  <si>
    <t>1. Log in as the Head/Admin.
2. Navigate to the Subscription Renewal page.
3. Select a higher plan or tier.
4. Confirm the renewal.</t>
  </si>
  <si>
    <t>1. The subscription is upgraded successfully.
2. The selected plan and tier are applied.
3. The renewal is completed successfully.</t>
  </si>
  <si>
    <t>tc-54</t>
  </si>
  <si>
    <t>Downgrade Subscription Plan</t>
  </si>
  <si>
    <t>Verify that the Head/Admin can downgrade the subscription plan during renewal when usage is within the new plan limits.</t>
  </si>
  <si>
    <t>1. A Head/Admin account exists.
2. An active subscription exists.
3. Current usage is within the limits of the lower plan.</t>
  </si>
  <si>
    <t>1. Log in as the Head/Admin.
2. Navigate to the Subscription Renewal page.
3. Select a lower plan or tier.
4. Confirm the renewal.</t>
  </si>
  <si>
    <t>1. The subscription is downgraded successfully.
2. The selected plan and tier are applied.
3. The renewal is completed successfully.</t>
  </si>
  <si>
    <t>tc-55</t>
  </si>
  <si>
    <t>Downgrade Exceeds Student Limit</t>
  </si>
  <si>
    <t>Verify that the system prevents a subscription downgrade when the number of active students exceeds the selected plan limit.</t>
  </si>
  <si>
    <t>1. A Head/Admin account exists.
2. An active subscription exists.
3. The number of active students exceeds the limit of the selected lower plan.</t>
  </si>
  <si>
    <t>1. The downgrade is rejected.
2. A validation message indicates that the active student limit has been exceeded.
3. The current subscription remains unchanged.</t>
  </si>
  <si>
    <t>tc-56</t>
  </si>
  <si>
    <t>Downgrade Exceeds AI Usage Limit</t>
  </si>
  <si>
    <t>Verify that the system prevents a subscription downgrade when teacher AI correction usage exceeds the selected plan limit.</t>
  </si>
  <si>
    <t>1. A Head/Admin account exists.
2. An active subscription exists.
3. Teacher AI correction usage exceeds the limit of the selected lower plan.</t>
  </si>
  <si>
    <t>1. The downgrade is rejected.
2. A validation message indicates that the AI correction usage exceeds the selected plan limit.
3. The current subscription remains unchanged.</t>
  </si>
  <si>
    <t>tc-57</t>
  </si>
  <si>
    <t>Downgrade At Student Limit</t>
  </si>
  <si>
    <t>Verify that the system allows a subscription downgrade when the number of active students is exactly equal to the selected plan limit.</t>
  </si>
  <si>
    <t>1. A Head/Admin account exists.
2. An active subscription exists.
3. The number of active students is equal to the limit of the selected lower plan.
4. Teacher AI correction usage is within the new plan limit.</t>
  </si>
  <si>
    <t>1. The downgrade is completed successfully.
2. The selected plan is applied.
3. The renewal is completed successfully.</t>
  </si>
  <si>
    <t>tc-58</t>
  </si>
  <si>
    <t>Downgrade At AI Usage Limit</t>
  </si>
  <si>
    <t>Verify that the system allows a subscription downgrade when teacher AI correction usage is exactly equal to the selected plan limit.</t>
  </si>
  <si>
    <t>1. A Head/Admin account exists.
2. An active subscription exists.
3. Teacher AI correction usage is equal to the limit of the selected lower plan.
4. The number of active students is within the new plan limit.</t>
  </si>
  <si>
    <t>tc-59</t>
  </si>
  <si>
    <t>SUB-04</t>
  </si>
  <si>
    <t xml:space="preserve"> Monthly Renewal End Date</t>
  </si>
  <si>
    <t>Verify that the system calculates the new end date correctly for a monthly subscription renewal.</t>
  </si>
  <si>
    <t>1. A subscription exists with a monthly billing cycle.
2. The current subscription end date is known.</t>
  </si>
  <si>
    <t>1. Log in as the Head/Admin.
2. Renew the monthly subscription.
3. View the updated subscription details.</t>
  </si>
  <si>
    <t>1. The new end date equals the previous end date plus one month and the 7-day renewal buffer.
2. The updated end date is saved correctly.</t>
  </si>
  <si>
    <t>tc-60</t>
  </si>
  <si>
    <t>Annual Renewal End Date</t>
  </si>
  <si>
    <t>Verify that the system calculates the new end date correctly for an annual subscription renewal.</t>
  </si>
  <si>
    <t>1. A subscription exists with an annual billing cycle.
2. The current subscription end date is known.</t>
  </si>
  <si>
    <t>1. Log in as the Head/Admin.
2. Renew the annual subscription.
3. View the updated subscription details.</t>
  </si>
  <si>
    <t>1. The new end date equals the previous end date plus one year and the 7-day renewal buffer.
2. The updated end date is saved correctly.</t>
  </si>
  <si>
    <t>tc-61</t>
  </si>
  <si>
    <t>Early Renewal End Date Calculation</t>
  </si>
  <si>
    <t>Verify that renewing a subscription before its expiry date calculates the new end date using the previous billing cycle end date rather than the renewal date.</t>
  </si>
  <si>
    <t>1. A Head/Admin account exists.
2. An active monthly subscription exists.
3. The current subscription end date is 31/08/2026.
4. The current date is 20/08/2026.</t>
  </si>
  <si>
    <t>1. Log in as the Head/Admin.
2. Navigate to the Subscription Renewal page.
3. Renew the subscription.
4. View the updated subscription details.</t>
  </si>
  <si>
    <t>1. The subscription is renewed successfully.
2. The new end date is calculated from 31/08/2026.
3. The new end date equals 07/10/2026 (previous end date + one month + 7-day renewal buffer).
4. The renewal date (20/08/2026) is not used in the calculation.</t>
  </si>
  <si>
    <t>tc-62</t>
  </si>
  <si>
    <t>SUB-06</t>
  </si>
  <si>
    <t>Renew Subscription with Sufficient Balance</t>
  </si>
  <si>
    <t>Verify that the system allows subscription renewal when the institution balance fully covers the selected plan cost.</t>
  </si>
  <si>
    <t>1. A Head/Admin account exists.
2. The institution balance is greater than or equal to the selected plan cost.
3. The subscription is eligible for renewal.</t>
  </si>
  <si>
    <t>1. Log in as the Head/Admin.
2. Navigate to the Subscription Renewal page.
3. Select a subscription plan.
4. Confirm the renewal.</t>
  </si>
  <si>
    <t>1. The system verifies the institution balance.
2. The renewal is completed successfully.
3. The selected plan is applied.
4. The subscription is updated successfully.</t>
  </si>
  <si>
    <t>showing an error massege "حدث خطأ"</t>
  </si>
  <si>
    <t>tc-63</t>
  </si>
  <si>
    <t>Renew Subscription with Insufficient Balance</t>
  </si>
  <si>
    <t>Verify that the system prevents subscription renewal when the institution balance is less than the selected plan cost.</t>
  </si>
  <si>
    <t>1. A Head/Admin account exists.
2. The institution balance is less than the selected plan cost.
3. The subscription is eligible for renewal.</t>
  </si>
  <si>
    <t>1. The system verifies the institution balance.
2. The renewal is rejected.
3. An appropriate validation message is displayed.
4. The subscription remains unchanged.</t>
  </si>
  <si>
    <t>tc-64</t>
  </si>
  <si>
    <t>SUB-07</t>
  </si>
  <si>
    <t>Set Status to Pending Renewal</t>
  </si>
  <si>
    <t>Verify that the system automatically changes the subscription status to "Pending Renewal" exactly 7 days before the subscription expiry date.</t>
  </si>
  <si>
    <t>1. An active subscription exists.
2. The subscription expiry date is configured.</t>
  </si>
  <si>
    <t>1. Advance the system date (or wait) until 7 days before the subscription expiry date.
2. Retrieve the subscription details.</t>
  </si>
  <si>
    <t>1. The subscription status changes automatically to "Pending Renewal".
2. No manual intervention is required.</t>
  </si>
  <si>
    <t>tc-65</t>
  </si>
  <si>
    <t>Pending Renewal Not Triggered Early</t>
  </si>
  <si>
    <t>Verify that the subscription status remains "Active" before reaching the 7-day renewal window.</t>
  </si>
  <si>
    <t>1. An active subscription exists.
2. More than 7 days remain before the subscription expiry date.</t>
  </si>
  <si>
    <t>1. Retrieve the subscription details before reaching the 7-day renewal window.</t>
  </si>
  <si>
    <t>1. The subscription status remains "Active".
2. The status does not change to "Pending Renewal".</t>
  </si>
  <si>
    <t>tc-66</t>
  </si>
  <si>
    <t>Send Renewal Notification Email</t>
  </si>
  <si>
    <t>Verify that the system sends a renewal notification email when the subscription enters the "Pending Renewal" status.</t>
  </si>
  <si>
    <t>1. An active subscription exists.
2. A valid email address is configured for the Head/Admin.
3. The subscription reaches the 7-day renewal window.</t>
  </si>
  <si>
    <t>1. Advance the system date (or wait) until 7 days before the subscription expiry date.
2. Check the Head/Admin email inbox.</t>
  </si>
  <si>
    <t xml:space="preserve">
1. A renewal notification email is received.
2. The email notifies the Head/Admin that the subscription is approaching expiry.</t>
  </si>
  <si>
    <t>tc-67</t>
  </si>
  <si>
    <t>Client Date Manipulation Does Not Affect Subscription Status</t>
  </si>
  <si>
    <t>Verify that changing the client device date does not affect the subscription status calculation.</t>
  </si>
  <si>
    <t>1. An active subscription exists.
2. The application uses the server date/time for subscription processing.</t>
  </si>
  <si>
    <t>1. Log in to the application.
2. Change the device date to a date within the renewal window.
3. Refresh the application or reopen the Subscription page.
4. Observe the subscription status.
5. Restore the correct device date.</t>
  </si>
  <si>
    <t>1. The subscription status is determined using the server date.
2. Changing the client device date does not trigger or prevent the "Pending Renewal" status.
3. The displayed subscription status remains correct.</t>
  </si>
  <si>
    <t>tc-68</t>
  </si>
  <si>
    <t>SUB-08</t>
  </si>
  <si>
    <t xml:space="preserve">Validate the grace period </t>
  </si>
  <si>
    <t>Verify that the subscription status changes to "Grace Period" immediately after the subscription expires without renewal.</t>
  </si>
  <si>
    <t>1. An active subscription exists.
2. The subscription reaches its expiry date.
3. The subscription has not been renewed.</t>
  </si>
  <si>
    <t>1. Allow the subscription to reach its expiry date.
2. Retrieve the subscription details.</t>
  </si>
  <si>
    <t>1. The subscription status changes automatically to "Grace Period".
2. The status change requires no manual intervention.</t>
  </si>
  <si>
    <t>tc-69</t>
  </si>
  <si>
    <t>Full Access During Grace Period</t>
  </si>
  <si>
    <t>Verify that all tenant platform features remain accessible during the grace period.</t>
  </si>
  <si>
    <t>1. The subscription status is "Grace Period".</t>
  </si>
  <si>
    <t>1. Log in as the Head/Admin.
2. Access different modules of the tenant platform.
3. Log in as a teacher.
4. Access teacher features.
5. Log in as a student.
6. Access student features.</t>
  </si>
  <si>
    <t>1. Head/Admin can access all permitted features.
2. Teachers can access all permitted features.
3. Students can access all permitted features.
4. No subscription-related restrictions are applied during the grace period</t>
  </si>
  <si>
    <t>tc-70</t>
  </si>
  <si>
    <t>Grace Period Duration</t>
  </si>
  <si>
    <t>Verify that the subscription remains in the "Grace Period" status for exactly 7 days after expiry.</t>
  </si>
  <si>
    <t>1. The subscription has expired.
2. The subscription has not been renewed.</t>
  </si>
  <si>
    <t>1. Observe the subscription status immediately after expiry.
2. Verify the status during the 7-day grace period.
3. Verify the status after the grace period ends.</t>
  </si>
  <si>
    <t>1. The subscription remains in "Grace Period" throughout the 7-day period.
2. The status changes only after the grace period has ended.</t>
  </si>
  <si>
    <t>tc-71</t>
  </si>
  <si>
    <t>SUB-09</t>
  </si>
  <si>
    <t>Validating Suspended Status</t>
  </si>
  <si>
    <t>Verify that the subscription status changes automatically to "Suspended" when the grace period expires without renewal.</t>
  </si>
  <si>
    <t>1. The subscription is in the "Grace Period" status.
2. The 7-day grace period has ended.
3. The subscription has not been renewed.</t>
  </si>
  <si>
    <t xml:space="preserve">
1. Allow the grace period to expire.
2. Retrieve the subscription details.</t>
  </si>
  <si>
    <t>1. The subscription status changes automatically to "Suspended".
2. The status change requires no manual intervention.</t>
  </si>
  <si>
    <t>tc-72</t>
  </si>
  <si>
    <t xml:space="preserve"> Restrict Student Access</t>
  </si>
  <si>
    <t>Verify that students cannot access the tenant platform when the subscription status is "Suspended".</t>
  </si>
  <si>
    <t>1. The subscription status is "Suspended".
2. A student account exists.</t>
  </si>
  <si>
    <t>1. Log in as a student.
2. Attempt to access the tenant platform.</t>
  </si>
  <si>
    <t>1. Access is denied.
2. The student cannot use any tenant features.
3. An appropriate suspension message is displayed, if applicable.</t>
  </si>
  <si>
    <t>tc-73</t>
  </si>
  <si>
    <t>Restrict Teacher Access</t>
  </si>
  <si>
    <t>Verify that teachers cannot access the tenant platform when the subscription status is "Suspended".</t>
  </si>
  <si>
    <t>1. The subscription status is "Suspended".
2. A teacher account exists.</t>
  </si>
  <si>
    <t>1. Access is denied.
2. The teacher cannot use any tenant features.
3. An appropriate suspension message is displayed, if applicable.</t>
  </si>
  <si>
    <t>tc-74</t>
  </si>
  <si>
    <t>SUB-10</t>
  </si>
  <si>
    <t>Head/Admin Access During Suspension</t>
  </si>
  <si>
    <t>Verify that the Head/Admin can access the tenant portal when the subscription status is "Suspended".</t>
  </si>
  <si>
    <t>1. The subscription status is "Suspended".
2. A Head/Admin account exists.</t>
  </si>
  <si>
    <t>1. Log in as the Head/Admin.
2. Access the tenant portal.</t>
  </si>
  <si>
    <t>1. The Head/Admin can successfully access the portal.
2. The subscription status is displayed as "Suspended".</t>
  </si>
  <si>
    <t>tc-75</t>
  </si>
  <si>
    <t>Complete Renewal During Suspension</t>
  </si>
  <si>
    <t>Verify that the Head/Admin can complete the subscription renewal while the subscription is suspended.</t>
  </si>
  <si>
    <t>1. The subscription status is "Suspended".
2. A Head/Admin account exists.
3. The institution satisfies the renewal requirements.</t>
  </si>
  <si>
    <t>1. Log in as the Head/Admin.
2. Navigate to the Subscription Renewal page.
3. Select a renewal plan.
4. Complete the renewal process.</t>
  </si>
  <si>
    <t>1. The renewal process is completed successfully.
2. No access restriction prevents the Head/Admin from renewing the subscription.</t>
  </si>
  <si>
    <t>tc-76</t>
  </si>
  <si>
    <t>Tenant Data Retained During Suspension</t>
  </si>
  <si>
    <t>Verify that tenant data remains available while the subscription is suspended.</t>
  </si>
  <si>
    <t>1. The subscription status is "Suspended".
2. Tenant data exists.</t>
  </si>
  <si>
    <t>1. Log in as the Head/Admin.
2. Access different tenant records (students, teachers, courses, etc.).</t>
  </si>
  <si>
    <t>1. All tenant data remains available.
2. No tenant records are deleted or modified due to suspension.</t>
  </si>
  <si>
    <t>tc-77</t>
  </si>
  <si>
    <t>Tenant Data Retained for Retention Period</t>
  </si>
  <si>
    <t>Verify that tenant data is retained for the configured retention period after suspension.</t>
  </si>
  <si>
    <t>1. The subscription status is "Suspended".
2. Tenant data exists.
3. The data retention period is configured to the default value (90 days).</t>
  </si>
  <si>
    <t>1. Keep the subscription in the "Suspended" state.
2. Verify the tenant data during the retention period.
3. Review the tenant data before the retention period expires.</t>
  </si>
  <si>
    <t>1. Tenant data remains available throughout the configured retention period.
2. No tenant data is deleted before the retention period expires.</t>
  </si>
  <si>
    <t>tc-78</t>
  </si>
  <si>
    <t>SUB-11</t>
  </si>
  <si>
    <t xml:space="preserve"> Restore Active Status After Renewal</t>
  </si>
  <si>
    <t>Verify that renewing a suspended subscription immediately changes the subscription status to "Active".</t>
  </si>
  <si>
    <t>1. The subscription status is "Suspended".
2. The Head/Admin has successfully completed the renewal process.</t>
  </si>
  <si>
    <t>1. Log in as the Head/Admin.
2. Complete the subscription renewal.
3. View the subscription details.</t>
  </si>
  <si>
    <t xml:space="preserve">
1. The subscription status changes immediately to "Active".
2. The updated status is displayed correctly.</t>
  </si>
  <si>
    <t>tc-79</t>
  </si>
  <si>
    <t>Restore Full Tenant Access</t>
  </si>
  <si>
    <t>Verify that all tenant users regain access to the platform immediately after renewing a suspended subscription.</t>
  </si>
  <si>
    <t>1. The subscription was previously "Suspended".
2. The renewal has been completed successfully.</t>
  </si>
  <si>
    <t>1. Log in as a student.
2. Access the tenant platform.
3. Log in as a teacher.
4. Access the tenant platform.</t>
  </si>
  <si>
    <t>1. Students can access the platform successfully.
2. Teachers can access the platform successfully.
3. Subscription-related access restrictions are removed immediately.</t>
  </si>
  <si>
    <t>tc-80</t>
  </si>
  <si>
    <t>SUB-12</t>
  </si>
  <si>
    <t>Renew During Grace Period</t>
  </si>
  <si>
    <t>Verify that renewing a subscription during the Grace Period changes the subscription status to "Active".</t>
  </si>
  <si>
    <t>1. The subscription status is "Grace Period".
2. The subscription is eligible for renewal.</t>
  </si>
  <si>
    <t>1. Log in as the Head/Admin.
2. Navigate to the Subscription Renewal page.
3. Complete the renewal process.
4. View the subscription details.</t>
  </si>
  <si>
    <t>1. The renewal is completed successfully.
2. The subscription status changes to "Active".</t>
  </si>
  <si>
    <t>tc-81</t>
  </si>
  <si>
    <t>Renew During Suspension</t>
  </si>
  <si>
    <t>Verify that renewing a suspended subscription changes the subscription status to "Active".</t>
  </si>
  <si>
    <t>1. The subscription status is "Suspended".
2. The subscription is eligible for renewal.</t>
  </si>
  <si>
    <t>tc-82</t>
  </si>
  <si>
    <t>SUB-13</t>
  </si>
  <si>
    <t>View Renewal History</t>
  </si>
  <si>
    <t>Verify that the Head/Admin can view the complete subscription renewal history.</t>
  </si>
  <si>
    <t xml:space="preserve">
1. A Head/Admin account exists.
2. The subscription has one or more renewal records.</t>
  </si>
  <si>
    <t>1. Log in as the Head/Admin.
2. Navigate to the Subscription page.
3. Open the Renewal History section.</t>
  </si>
  <si>
    <t>1. The renewal history is displayed successfully.
2. All renewal records are displayed.</t>
  </si>
  <si>
    <t>tc-83</t>
  </si>
  <si>
    <t>SUB-14</t>
  </si>
  <si>
    <t>Export Subscription Details</t>
  </si>
  <si>
    <t>Verify that the Head/Admin can export the subscription details as a CSV file.</t>
  </si>
  <si>
    <t>1. A Head/Admin account exists.
2. Subscription details are available.</t>
  </si>
  <si>
    <t>1. Log in as the Head/Admin.
2. Navigate to the Subscription page.
3. Select the Export Subscription Details option.</t>
  </si>
  <si>
    <t>1. A CSV file is generated successfully.
2. The exported file contains the current subscription details.
3. The exported file is downloaded successfully.</t>
  </si>
  <si>
    <t>tc-84</t>
  </si>
  <si>
    <t>Export Renewal History</t>
  </si>
  <si>
    <t>Verify that the Head/Admin can export the subscription renewal history as a CSV file.</t>
  </si>
  <si>
    <t>1. A Head/Admin account exists.
2. The subscription has one or more renewal records.</t>
  </si>
  <si>
    <t>1. Log in as the Head/Admin.
2. Navigate to the Renewal History page.
3. Select the Export option.</t>
  </si>
  <si>
    <t>1. A CSV file is generated successfully.
2. All renewal history records are included in the exported file.
3. The exported file is downloaded successfully.</t>
  </si>
  <si>
    <t>tc-85</t>
  </si>
  <si>
    <t xml:space="preserve"> Export Balance Statements</t>
  </si>
  <si>
    <t>Verify that the Head/Admin can export the institution balance statements as a CSV file.</t>
  </si>
  <si>
    <t>1. A Head/Admin account exists.
2. Balance statement records exist</t>
  </si>
  <si>
    <t>1. Log in as the Head/Admin.
2. Navigate to the Balance Statements page.
3. Select the Export option.</t>
  </si>
  <si>
    <t>1. A CSV file is generated successfully.
2. All balance statement records are included in the exported file.
3. The exported file is downloaded successfully.</t>
  </si>
  <si>
    <t>tc-86</t>
  </si>
  <si>
    <t>Verify Exported CSV Format</t>
  </si>
  <si>
    <t>Verify that the exported file is generated in a valid CSV format with accurate data.</t>
  </si>
  <si>
    <t>1. A Head/Admin account exists.
2. Exportable subscription data exists.</t>
  </si>
  <si>
    <t>1. Export one of the available reports.
2. Open the exported CSV file using a spreadsheet application.
3. Review the file contents.</t>
  </si>
  <si>
    <t>1. The exported file is in CSV format.
2. Column headers are displayed correctly.
3. Data is separated correctly into columns.
4. Exported values match the data displayed in the system.</t>
  </si>
  <si>
    <t>tc-87</t>
  </si>
  <si>
    <t>EC-01</t>
  </si>
  <si>
    <t>FR-EXM</t>
  </si>
  <si>
    <t>Verify user can create a new exam with all valid required data</t>
  </si>
  <si>
    <t>User is logged in with permission to create exams; is on the 'Create Exam' page</t>
  </si>
  <si>
    <t>1. Enter exam name
2. Set duration
3. Set start date/end date
4. Add one or more questions
5. Click 'Create' / 'Save' / 'Publish'</t>
  </si>
  <si>
    <t>Name: 'Midterm Exam 1'
Duration: 60 minutes
Start: today
End: +7 days
Questions: 10 selected</t>
  </si>
  <si>
    <t>Exam is created successfully; success message is shown; exam appears in the exams list with correct details</t>
  </si>
  <si>
    <t>pass</t>
  </si>
  <si>
    <t>EC-02</t>
  </si>
  <si>
    <t>Verify system prevents exam creation when required fields are missing</t>
  </si>
  <si>
    <t>User is on the 'Create Exam' page</t>
  </si>
  <si>
    <t>1. Leave a required field empty (e.g. exam name)
2. Attempt to click 'Create' / 'Save'</t>
  </si>
  <si>
    <t>Name: (empty)</t>
  </si>
  <si>
    <t>Validation error is shown for the missing field; exam is not created</t>
  </si>
  <si>
    <t>EC-03</t>
  </si>
  <si>
    <t>Verify system rejects an exam with zero or negative duration</t>
  </si>
  <si>
    <t>1. Fill in all fields
2. Enter duration = 0 or a negative number
3. Attempt to save</t>
  </si>
  <si>
    <t>Duration: 0 / -10</t>
  </si>
  <si>
    <t>Validation error is displayed; exam creation is blocked</t>
  </si>
  <si>
    <t>fail</t>
  </si>
  <si>
    <t>EC-04</t>
  </si>
  <si>
    <t>Verify system rejects an exam where the end date/time is before the start date/time</t>
  </si>
  <si>
    <t>1. Fill in all fields
2. Set End Date earlier than Start Date
3. Attempt to save</t>
  </si>
  <si>
    <t>Start: 2026-07-15, End: 2026-07-10</t>
  </si>
  <si>
    <t>Validation error is displayed (e.g. 'End date must be after start date'); exam is not created</t>
  </si>
  <si>
    <t>EC-05</t>
  </si>
  <si>
    <t>Verify user can add and remove questions while creating an exam</t>
  </si>
  <si>
    <t>User is on the 'Create Exam' page with the question bank available</t>
  </si>
  <si>
    <t>1. Add several questions to the exam
2. Remove one of the added questions
3. Save the exam</t>
  </si>
  <si>
    <t>Add 5 questions, remove 1</t>
  </si>
  <si>
    <t>Only the remaining 4 questions are included in the saved exam</t>
  </si>
  <si>
    <t>EC-06</t>
  </si>
  <si>
    <t>Verify system prevents creating an exam with zero questions</t>
  </si>
  <si>
    <t>1. Fill in exam details
2. Do not add any questions
3. Attempt to save/publish</t>
  </si>
  <si>
    <t>Questions: none</t>
  </si>
  <si>
    <t>Validation error is shown; exam with no questions cannot be published</t>
  </si>
  <si>
    <t>EC-07</t>
  </si>
  <si>
    <t>Verify duplicate exam name handling</t>
  </si>
  <si>
    <t>An exam with a specific name already exists</t>
  </si>
  <si>
    <t>1. Create a new exam using the exact same name as an existing exam
2. Attempt to save</t>
  </si>
  <si>
    <t>Name: same as an existing exam</t>
  </si>
  <si>
    <t>System either warns about duplicate names or allows it per design; behavior should be consistent and documented (raise as a question if undefined)</t>
  </si>
  <si>
    <t>Low</t>
  </si>
  <si>
    <t>EC-08</t>
  </si>
  <si>
    <t>Verify exam can be saved as a draft without publishing</t>
  </si>
  <si>
    <t>'Save as Draft' option exists on the 'Create Exam' page</t>
  </si>
  <si>
    <t>1. Fill in partial exam data
2. Click 'Save as Draft' (not Publish)</t>
  </si>
  <si>
    <t>Partial data</t>
  </si>
  <si>
    <t>Exam is saved with a 'Draft' status and is not visible/available to students until published</t>
  </si>
  <si>
    <t>EC-09</t>
  </si>
  <si>
    <t>Verify max character limits on exam name/description fields are enforced</t>
  </si>
  <si>
    <t>1. Enter an exam name exceeding the allowed character limit
2. Attempt to save</t>
  </si>
  <si>
    <t>Name: 300+ character string</t>
  </si>
  <si>
    <t>System either truncates input or shows a validation message; no crash or database error occurs</t>
  </si>
  <si>
    <t>EC-10</t>
  </si>
  <si>
    <t>Verify a created exam is correctly visible/assigned to the intended students/group</t>
  </si>
  <si>
    <t>Exam creation supports assigning to specific students or groups</t>
  </si>
  <si>
    <t>1. Create an exam and assign it to a specific student group
2. Log in as a student in that group and check exam visibility
3. Log in as a student NOT in that group and check visibility</t>
  </si>
  <si>
    <t>Group A vs Group B</t>
  </si>
  <si>
    <t>Only students in the assigned group can see/access the exam</t>
  </si>
  <si>
    <t>EC-11</t>
  </si>
  <si>
    <t>Verify creating an exam with randomized question order per student attempt</t>
  </si>
  <si>
    <t>'Randomize question order' option is available on the Create Exam page</t>
  </si>
  <si>
    <t>1. Enable 'Randomize question order'
2. Save and publish the exam
3. Have two different students start the exam</t>
  </si>
  <si>
    <t>Randomize: ON</t>
  </si>
  <si>
    <t>Each student sees questions in a different order while all questions/content remain identical</t>
  </si>
  <si>
    <t>EC-12</t>
  </si>
  <si>
    <t>Verify creating an exam with randomized answer choices order for MCQ questions</t>
  </si>
  <si>
    <t>Exam contains MCQ questions with a 'shuffle answers' option</t>
  </si>
  <si>
    <t>1. Enable 'Shuffle answer choices'
2. Save and publish
3. Compare choice order for two different students</t>
  </si>
  <si>
    <t>Shuffle answers: ON</t>
  </si>
  <si>
    <t>Answer choice order differs between students while the correct-answer mapping remains accurate</t>
  </si>
  <si>
    <t>EC-13</t>
  </si>
  <si>
    <t>Verify custom point/weight assignment per question when creating an exam</t>
  </si>
  <si>
    <t>Create Exam page supports per-question scoring</t>
  </si>
  <si>
    <t>1. Add multiple questions
2. Assign different point values to each question
3. Save the exam</t>
  </si>
  <si>
    <t>Q1: 5 pts, Q2: 10 pts, Q3: 2 pts</t>
  </si>
  <si>
    <t>Total exam score equals the sum of assigned points; each question retains its configured weight</t>
  </si>
  <si>
    <t>EC-14</t>
  </si>
  <si>
    <t>Verify creating an exam that mixes multiple question types (MCQ, True/False, Essay)</t>
  </si>
  <si>
    <t>Question bank contains different question types</t>
  </si>
  <si>
    <t>1. Add at least one MCQ, one True/False, and one Essay question to the exam
2. Save/publish the exam</t>
  </si>
  <si>
    <t>1 MCQ + 1 True/False + 1 Essay</t>
  </si>
  <si>
    <t>All question types are saved and displayed correctly in the exam; essay questions are flagged for manual grading</t>
  </si>
  <si>
    <t>EC-15</t>
  </si>
  <si>
    <t xml:space="preserve">Verify editing an unpublished (draft) exam's details </t>
  </si>
  <si>
    <t>A draft exam exists</t>
  </si>
  <si>
    <t>1. Open the draft exam
2. Modify the name, duration
3. Save changes</t>
  </si>
  <si>
    <t>Update duration from 60 to 45 minutes</t>
  </si>
  <si>
    <t>Changes are saved successfully and reflected when the exam is reopened</t>
  </si>
  <si>
    <t>EC-16</t>
  </si>
  <si>
    <t>Verify editing a published exam that already has student attempts is restricted or handled safely</t>
  </si>
  <si>
    <t>A published exam has at least one student attempt/submission</t>
  </si>
  <si>
    <t xml:space="preserve">1. Open the published exam with existing attempts
</t>
  </si>
  <si>
    <t>System either blocks editing questions/scoring after attempts exist, or clearly warns about the impact on existing grades before allowing the change</t>
  </si>
  <si>
    <t>EC-17</t>
  </si>
  <si>
    <t>Verify deleting an exam that has no student attempts</t>
  </si>
  <si>
    <t>An exam exists with zero student attempts</t>
  </si>
  <si>
    <t>1. Select the exam
2. Click 'Delete'
3. Confirm deletion</t>
  </si>
  <si>
    <t>Exam is removed from the exams list and is no longer accessible</t>
  </si>
  <si>
    <t>EC-18</t>
  </si>
  <si>
    <t>Verify deleting an exam that already has student attempts/results is handled safely</t>
  </si>
  <si>
    <t>An exam exists with at least one submitted attempt</t>
  </si>
  <si>
    <t>1. Select the exam with existing attempts
2. Attempt to delete it</t>
  </si>
  <si>
    <t>System either prevents deletion, or shows a clear warning about losing student results before confirming</t>
  </si>
  <si>
    <t>EC-19</t>
  </si>
  <si>
    <t>Verify duplicating/cloning an existing exam as a starting point for a new one</t>
  </si>
  <si>
    <t>An existing exam is available to duplicate</t>
  </si>
  <si>
    <t>1. Select an existing exam
2. Click 'Duplicate' / 'Clone'
3. Rename and adjust the copy, then save</t>
  </si>
  <si>
    <t>A new independent exam is created with the same questions/settings as the source, editable without affecting the original</t>
  </si>
  <si>
    <t>EC-20</t>
  </si>
  <si>
    <t>Verify setting the number of allowed attempts per student for an exam</t>
  </si>
  <si>
    <t>Create Exam page supports configuring attempt limits</t>
  </si>
  <si>
    <t>1. Set 'Allowed attempts' to a specific number (e.g. 2)
2. Save/publish the exam
3. Have a student attempt the exam more times than allowed</t>
  </si>
  <si>
    <t>Allowed attempts: 2</t>
  </si>
  <si>
    <t>Student can attempt up to the configured limit; further attempts are blocked with a clear message</t>
  </si>
  <si>
    <t>EC-21</t>
  </si>
  <si>
    <t>Verify setting a passing score/grade threshold for an exam</t>
  </si>
  <si>
    <t>Create Exam page supports a passing score field</t>
  </si>
  <si>
    <t>1. Set a passing score (e.g. 60%)
2. Publish the exam
3. Submit exam attempts above and below the threshold</t>
  </si>
  <si>
    <t>Passing score: 60%</t>
  </si>
  <si>
    <t>Results correctly reflect Pass/Fail status based on the configured threshold</t>
  </si>
  <si>
    <t>EC-22</t>
  </si>
  <si>
    <t>Verify assigning the same exam to multiple classes/groups at once</t>
  </si>
  <si>
    <t>Multiple classes/groups exist</t>
  </si>
  <si>
    <t>1. Create an exam
2. Assign it to more than one class/group
3. Save/publish</t>
  </si>
  <si>
    <t>Class A + Class B</t>
  </si>
  <si>
    <t>The exam becomes available to students in all assigned classes/groups</t>
  </si>
  <si>
    <t>EC-23</t>
  </si>
  <si>
    <t>Verify time zone handling when the teacher and students are in different time zones</t>
  </si>
  <si>
    <t>Teacher and student accounts are set to different time zones</t>
  </si>
  <si>
    <t>1. Create an exam with a start/end date-time as the teacher
2. Log in as a student in a different time zone and check the displayed exam schedule</t>
  </si>
  <si>
    <t>Teacher TZ: GMT+2, Student TZ: GMT+5</t>
  </si>
  <si>
    <t>The exam's start/end time is displayed correctly, converted to each user's local time zone</t>
  </si>
  <si>
    <t>EC-24</t>
  </si>
  <si>
    <t>Verify the exam creation form behaves correctly on mobile/tablet screen sizes</t>
  </si>
  <si>
    <t>User accesses the 'Create Exam' page on a mobile or tablet device/viewport</t>
  </si>
  <si>
    <t>1. Open the 'Create Exam' page on a small viewport
2. Fill in the form and add questions
3. Save the exam</t>
  </si>
  <si>
    <t>Viewport: 768px (tablet) / 375px (mobile)</t>
  </si>
  <si>
    <t>All form fields and controls remain usable and correctly laid out; exam is created successfully</t>
  </si>
  <si>
    <t>ES-01</t>
  </si>
  <si>
    <t>Verify student can submit the exam manually before time runs out</t>
  </si>
  <si>
    <t>Student is logged in, has an active/available exam, and has answered all questions</t>
  </si>
  <si>
    <t>1. Answer all exam questions
2. Click the 'Submit' button
3. Confirm submission if a confirmation dialog appears</t>
  </si>
  <si>
    <t>All questions answered</t>
  </si>
  <si>
    <t>Exam is submitted successfully; confirmation message is displayed; student is redirected to a results/summary page as designed</t>
  </si>
  <si>
    <t>ES-02</t>
  </si>
  <si>
    <t>Verify exam auto-submits when the countdown timer reaches zero</t>
  </si>
  <si>
    <t>Student has started an exam with a timer; some/no questions have been answered</t>
  </si>
  <si>
    <t>1. Start the exam
2. Wait (or fast-forward) until the timer reaches 00:00
3. Do not click submit manually</t>
  </si>
  <si>
    <t>Duration: shortest available (e.g. 1-2 minutes for testing)</t>
  </si>
  <si>
    <t>Exam is auto-submitted with whatever answers were selected at that point; student is notified of auto-submission</t>
  </si>
  <si>
    <t>ES-03</t>
  </si>
  <si>
    <t>Verify student can submit an exam with some questions left unanswered</t>
  </si>
  <si>
    <t>Student is in an active exam with at least one unanswered question</t>
  </si>
  <si>
    <t>1. Answer only some of the questions
2. Click 'Submit'
3. Confirm submission if prompted</t>
  </si>
  <si>
    <t>Partial answers</t>
  </si>
  <si>
    <t>System either allows submission with unanswered questions marked as unanswered/zero score, or warns the student before allowing submission (per design)</t>
  </si>
  <si>
    <t>ES-04</t>
  </si>
  <si>
    <t>Verify a submitted exam cannot be submitted or edited again</t>
  </si>
  <si>
    <t>Student has already submitted an exam</t>
  </si>
  <si>
    <t>1. Attempt to reopen the same exam attempt
2. Attempt to change answers or resubmit</t>
  </si>
  <si>
    <t>System blocks further edits/submission and shows an appropriate message (e.g. 'Exam already submitted')</t>
  </si>
  <si>
    <t>ES-05</t>
  </si>
  <si>
    <t>Verify submission confirmation dialog prevents accidental submission</t>
  </si>
  <si>
    <t>Student is taking an exam and clicks 'Submit'</t>
  </si>
  <si>
    <t>1. Click 'Submit'
2. Observe if a confirmation prompt appears
3. Click 'Cancel' on the prompt</t>
  </si>
  <si>
    <t>A confirmation dialog appears before final submission; clicking 'Cancel' returns the student to the exam without submitting</t>
  </si>
  <si>
    <t>ES-06</t>
  </si>
  <si>
    <t>Verify system behavior when network connection is lost during submission</t>
  </si>
  <si>
    <t>Student is submitting an exam</t>
  </si>
  <si>
    <t>1. Click 'Submit'
2. Disable network connection immediately after clicking (simulate network loss)</t>
  </si>
  <si>
    <t>System retries or shows a clear error message without losing the student's answers; student is able to resubmit once connection is restored</t>
  </si>
  <si>
    <t>ES-07</t>
  </si>
  <si>
    <t>Verify answers are auto-saved periodically during the exam (if supported)</t>
  </si>
  <si>
    <t>Student is actively taking an exam with auto-save enabled</t>
  </si>
  <si>
    <t>1. Answer a few questions
2. Refresh the page or lose connection briefly without submitting
3. Reopen the exam</t>
  </si>
  <si>
    <t>Previously entered answers are retained/restored, minimizing data loss</t>
  </si>
  <si>
    <t>ES-08</t>
  </si>
  <si>
    <t>Verify score/results are calculated and displayed correctly after submission (for auto-graded question types)</t>
  </si>
  <si>
    <t>Exam contains objective (auto-gradable) questions; student has submitted the exam</t>
  </si>
  <si>
    <t>1. Submit an exam with known correct/incorrect answers
2. View the results page</t>
  </si>
  <si>
    <t>Known answer key</t>
  </si>
  <si>
    <t>Displayed score matches the expected score based on correct answers given</t>
  </si>
  <si>
    <t>ES-09</t>
  </si>
  <si>
    <t>Verify student cannot access/start submission of an exam outside its scheduled availability window</t>
  </si>
  <si>
    <t>An exam has a defined start/end date-time window</t>
  </si>
  <si>
    <t>1. Attempt to open/start the exam before its start time
2. Attempt to open/start the exam after its end time</t>
  </si>
  <si>
    <t>Exam is inaccessible outside its scheduled window, with a clear message shown to the student</t>
  </si>
  <si>
    <t>ES-10</t>
  </si>
  <si>
    <t>Verify student can navigate between questions using Next/Previous without losing entered answers</t>
  </si>
  <si>
    <t>Student is in an active multi-question exam</t>
  </si>
  <si>
    <t>1. Answer question 1
2. Click 'Next' to move to question 2
3. Click 'Previous' to return to question 1</t>
  </si>
  <si>
    <t>The answer entered for question 1 is retained when navigating away and back</t>
  </si>
  <si>
    <t>ES-11</t>
  </si>
  <si>
    <t>Verify the question navigator/palette correctly indicates answered vs unanswered questions</t>
  </si>
  <si>
    <t>Exam UI includes a question navigator/palette</t>
  </si>
  <si>
    <t>1. Answer some questions and leave others blank
2. Observe the question navigator panel</t>
  </si>
  <si>
    <t>Answer 5 of 10 questions</t>
  </si>
  <si>
    <t>Navigator visually distinguishes answered, unanswered, and (if supported) marked-for-review questions</t>
  </si>
  <si>
    <t>ES-12</t>
  </si>
  <si>
    <t>Verify student can mark a question for review and revisit it before final submission</t>
  </si>
  <si>
    <t>Exam UI supports 'Mark for review'</t>
  </si>
  <si>
    <t>1. Mark a question for review while answering
2. Continue answering other questions
3. Use the navigator to jump back to the marked question</t>
  </si>
  <si>
    <t>The marked question is clearly flagged in the navigator and can be revisited before submission</t>
  </si>
  <si>
    <t>ES-13</t>
  </si>
  <si>
    <t>Verify exam behavior when the student closes the browser tab/window without submitting</t>
  </si>
  <si>
    <t>Student has started an exam with unsaved/unsubmitted progress</t>
  </si>
  <si>
    <t>1. Answer some questions
2. Close the browser tab/window without clicking Submit
3. Reopen the exam within the allowed time window</t>
  </si>
  <si>
    <t>System preserves the student's progress (via auto-save) or clearly explains the impact on the attempt when reopened</t>
  </si>
  <si>
    <t>ES-14</t>
  </si>
  <si>
    <t>Verify a second exam attempt is handled correctly when multiple attempts are allowed</t>
  </si>
  <si>
    <t>Exam is configured to allow more than one attempt</t>
  </si>
  <si>
    <t>1. Complete and submit a first attempt
2. Start a second attempt
3. Complete and submit the second attempt</t>
  </si>
  <si>
    <t>Both attempts are recorded; the final displayed score follows the configured rule (e.g. best attempt or latest attempt) as designed</t>
  </si>
  <si>
    <t>ES-15</t>
  </si>
  <si>
    <t>Verify essay/free-text question submission and the teacher's manual grading workflow</t>
  </si>
  <si>
    <t>Exam contains at least one essay/free-text question; student has submitted the exam</t>
  </si>
  <si>
    <t>1. Student submits an exam containing an essay answer
2. Teacher opens the submission and enters a manual grade/feedback for the essay question
3. Save the grade</t>
  </si>
  <si>
    <t>Manual grade: 8/10</t>
  </si>
  <si>
    <t>The essay response is visible to the teacher, the manual grade is saved, and it is correctly included in the student's total score</t>
  </si>
  <si>
    <t>ES-16</t>
  </si>
  <si>
    <t>Verify students can view correct answers/explanations after submission when enabled by the teacher</t>
  </si>
  <si>
    <t>Exam setting 'Show correct answers after submission' is enabled</t>
  </si>
  <si>
    <t>1. Student submits the exam
2. Student opens the results page</t>
  </si>
  <si>
    <t>Correct answers and/or explanations are displayed as configured; this content is hidden when the setting is disabled</t>
  </si>
  <si>
    <t>ES-17</t>
  </si>
  <si>
    <t>Verify teacher can review an individual student's submission and manually override/adjust the score</t>
  </si>
  <si>
    <t>A student has submitted an exam; teacher has grading permissions</t>
  </si>
  <si>
    <t>1. Teacher opens the student's submission
2. Adjust the score for one or more questions
3. Save the changes</t>
  </si>
  <si>
    <t>Adjust question score from 0 to 5</t>
  </si>
  <si>
    <t>The updated score is saved and reflected in the student's total grade and results view</t>
  </si>
  <si>
    <t>ES-18</t>
  </si>
  <si>
    <t>Verify exam submission works consistently across different browsers and devices</t>
  </si>
  <si>
    <t>Same exam is accessible from multiple browsers/devices</t>
  </si>
  <si>
    <t>1. Start and submit the exam using Chrome on desktop
2. Repeat using Edge or a mobile browser</t>
  </si>
  <si>
    <t>Chrome (desktop), Edge (desktop), Mobile browser</t>
  </si>
  <si>
    <t>The exam-taking and submission experience is consistent and successful across all tested browsers/devices</t>
  </si>
  <si>
    <t>ES-19</t>
  </si>
  <si>
    <t>Verify anti-cheating/proctoring measures behave as expected, if supported (e.g. tab-switch detection, copy-paste disabled)</t>
  </si>
  <si>
    <t>Exam has proctoring/anti-cheating settings enabled</t>
  </si>
  <si>
    <t>1. Start the exam
2. Switch to another browser tab or attempt to copy/paste exam content
3. Observe system behavior</t>
  </si>
  <si>
    <t>The system detects and logs/flags the action (e.g. warning, attempt log, or blocked action) according to the configured proctoring rules</t>
  </si>
  <si>
    <t>ES-20</t>
  </si>
  <si>
    <t>Verify a student who starts the exam just before the deadline is handled correctly when time runs out exactly at the scheduled end time</t>
  </si>
  <si>
    <t>Exam has a fixed end date/time; student starts shortly before that time</t>
  </si>
  <si>
    <t>1. Start the exam a few minutes before the exam's scheduled end time
2. Continue answering until the scheduled end time passes</t>
  </si>
  <si>
    <t>Exam ends at 12:00 PM; student starts at 11:58 AM</t>
  </si>
  <si>
    <t>The exam is auto-submitted at the scheduled end time (or per the configured rule), and the student is notified accordingly</t>
  </si>
  <si>
    <t>ES-21</t>
  </si>
  <si>
    <t>Verify the exam-taking flow is accessible via keyboard-only navigation and screen readers</t>
  </si>
  <si>
    <t>Student is taking an exam using keyboard navigation or a screen reader</t>
  </si>
  <si>
    <t>1. Navigate through exam questions and answer options using only the keyboard (Tab/Enter/Arrow keys)
2. Submit the exam using keyboard controls only</t>
  </si>
  <si>
    <t>All exam controls (question navigation, answer selection, submit) are reachable and usable without a mouse, with appropriate screen-reader labels</t>
  </si>
  <si>
    <t>ES-22</t>
  </si>
  <si>
    <t>Verify students receive a notification when their exam results are published/graded</t>
  </si>
  <si>
    <t>Exam notifications (email/in-app) are enabled; a submitted exam has just been fully graded</t>
  </si>
  <si>
    <t>1. Teacher completes grading (including any manual essay grading)
2. Observe the student's notifications (email/in-app)</t>
  </si>
  <si>
    <t>Student receives a timely notification that results are available, linking to the results page</t>
  </si>
  <si>
    <t>ES-23</t>
  </si>
  <si>
    <t>Verify the teacher can export exam results in bulk (e.g. CSV/Excel)</t>
  </si>
  <si>
    <t>Exam has multiple student submissions; export feature is available</t>
  </si>
  <si>
    <t>1. Open the exam's results/grades page
2. Click 'Export' and choose a format (e.g. CSV/Excel)
3. Open the exported file</t>
  </si>
  <si>
    <t>Export format: CSV</t>
  </si>
  <si>
    <t>An accurate file is downloaded containing all student names, scores, and submission statuses matching what's shown on screen</t>
  </si>
  <si>
    <t>LPS-01</t>
  </si>
  <si>
    <t>Landing Page Sections - Admin</t>
  </si>
  <si>
    <t>Open the tab</t>
  </si>
  <si>
    <t>Go to Profile &gt; 'اجزاء الصفحة الرأيسية' (Landing Page Sections) tab</t>
  </si>
  <si>
    <t>The page opens and shows the section list with a count badge</t>
  </si>
  <si>
    <t>LPS-02</t>
  </si>
  <si>
    <t>Empty state message</t>
  </si>
  <si>
    <t>Open the tab when no sections exist yet</t>
  </si>
  <si>
    <t>Page shows 'لا توجد أقسام بعد' message with a 'Create Section' button</t>
  </si>
  <si>
    <t>LPS-03</t>
  </si>
  <si>
    <t>Open create form</t>
  </si>
  <si>
    <t>Click the 'قسم جديد' (New Section) button</t>
  </si>
  <si>
    <t>A popup (modal) opens titled 'قسم جديد' with empty fields</t>
  </si>
  <si>
    <t>LPS-04</t>
  </si>
  <si>
    <t>Close form with X</t>
  </si>
  <si>
    <t>Open the create form, then click the X icon top right</t>
  </si>
  <si>
    <t>Form closes and no section is created</t>
  </si>
  <si>
    <t>LPS-05</t>
  </si>
  <si>
    <t>Close form with Cancel</t>
  </si>
  <si>
    <t>Open the create form, fill some fields, then click 'Cancel'</t>
  </si>
  <si>
    <t>Form closes and nothing is saved</t>
  </si>
  <si>
    <t>LPS-06</t>
  </si>
  <si>
    <t>Required field - Title</t>
  </si>
  <si>
    <t>Leave 'العنوان' (Title) empty and try to submit</t>
  </si>
  <si>
    <t>Form shows an error and does not save</t>
  </si>
  <si>
    <t>LPS-07</t>
  </si>
  <si>
    <t>Required field - Subtitle</t>
  </si>
  <si>
    <t>Leave 'العنوان الفرعي' (Subtitle) empty and try to submit</t>
  </si>
  <si>
    <t>LPS-08</t>
  </si>
  <si>
    <t>Required field - Order</t>
  </si>
  <si>
    <t>Leave 'ترتيب العرض' (Display Order) empty and try to submit</t>
  </si>
  <si>
    <t>it cant be deleted its 1 by default</t>
  </si>
  <si>
    <t>LPS-09</t>
  </si>
  <si>
    <t>Order minimum value</t>
  </si>
  <si>
    <t>Enter 0 or a negative number in Display Order</t>
  </si>
  <si>
    <t>Form should reject it (minimum allowed is 1)</t>
  </si>
  <si>
    <t>LPS-10</t>
  </si>
  <si>
    <t>Create a valid section</t>
  </si>
  <si>
    <t>Fill Title, Subtitle, Order and 1 card with 1 point, then click 'إنشاء القسم'</t>
  </si>
  <si>
    <t>Section is created and appears in the list, count badge goes up by 1</t>
  </si>
  <si>
    <t>LPS-11</t>
  </si>
  <si>
    <t>Add extra card</t>
  </si>
  <si>
    <t>In the form, click 'إضافة بطاقة' (Add Card)</t>
  </si>
  <si>
    <t>A new empty card box is added below the existing one</t>
  </si>
  <si>
    <t>it gives error when card is empty</t>
  </si>
  <si>
    <t>LPS-12</t>
  </si>
  <si>
    <t>Remove a card</t>
  </si>
  <si>
    <t>With 2+ cards, click the X on one card</t>
  </si>
  <si>
    <t>That card is removed from the form</t>
  </si>
  <si>
    <t>LPS-13</t>
  </si>
  <si>
    <t>Card order buttons disabled with 1 card</t>
  </si>
  <si>
    <t>With only 1 card in the form, check the up/down arrows on it</t>
  </si>
  <si>
    <t>Both up and down arrows are disabled (greyed out)</t>
  </si>
  <si>
    <t>it can be prdered high even if only one</t>
  </si>
  <si>
    <t>LPS-14</t>
  </si>
  <si>
    <t>Card order buttons enabled with 2+ cards</t>
  </si>
  <si>
    <t>Add a second card, check the up/down arrows</t>
  </si>
  <si>
    <t>Arrows become active and clickable</t>
  </si>
  <si>
    <t>LPS-15</t>
  </si>
  <si>
    <t>Reorder cards</t>
  </si>
  <si>
    <t>With 2+ cards, click the up arrow on the second card</t>
  </si>
  <si>
    <t>Second card moves above the first card</t>
  </si>
  <si>
    <t>LPS-16</t>
  </si>
  <si>
    <t>Card title field</t>
  </si>
  <si>
    <t>Type a card title in 'عنوان البطاقة'</t>
  </si>
  <si>
    <t>Text is entered and saved with the card</t>
  </si>
  <si>
    <t>LPS-17</t>
  </si>
  <si>
    <t>Pick card icon</t>
  </si>
  <si>
    <t>Click the icon button next to a card title</t>
  </si>
  <si>
    <t>An icon picker opens and lets you choose an icon</t>
  </si>
  <si>
    <t>LPS-18</t>
  </si>
  <si>
    <t>Add point to card</t>
  </si>
  <si>
    <t>Click 'إضافة نقطة' (Add Point) inside a card</t>
  </si>
  <si>
    <t>A new numbered point field is added (e.g. '2.')</t>
  </si>
  <si>
    <t>LPS-19</t>
  </si>
  <si>
    <t>Remove point disabled with 1 point</t>
  </si>
  <si>
    <t>With only 1 point in a card, check its X button</t>
  </si>
  <si>
    <t>X button is disabled, point cannot be removed</t>
  </si>
  <si>
    <t>LPS-20</t>
  </si>
  <si>
    <t>Remove point enabled with 2+ points</t>
  </si>
  <si>
    <t>Add a 2nd point, then check X buttons</t>
  </si>
  <si>
    <t>X buttons become active</t>
  </si>
  <si>
    <t>LPS-21</t>
  </si>
  <si>
    <t>Remove a point and renumber</t>
  </si>
  <si>
    <t>With 3 points, remove the 2nd one</t>
  </si>
  <si>
    <t>Remaining points are renumbered correctly (1, 2)</t>
  </si>
  <si>
    <t>LPS-22</t>
  </si>
  <si>
    <t>Long text handling</t>
  </si>
  <si>
    <t>Enter a very long Title (100+ characters)</t>
  </si>
  <si>
    <t>Text is accepted and layout does not break/overlap</t>
  </si>
  <si>
    <t>LPS-23</t>
  </si>
  <si>
    <t>Arabic + numbers + symbols</t>
  </si>
  <si>
    <t>Enter Arabic text mixed with numbers/symbols in Title/Subtitle</t>
  </si>
  <si>
    <t>Text saves correctly and displays in right-to-left (RTL) order</t>
  </si>
  <si>
    <t>LPS-24</t>
  </si>
  <si>
    <t>Edit existing section</t>
  </si>
  <si>
    <t>Click on an existing section in the list to edit it</t>
  </si>
  <si>
    <t>Edit form opens pre-filled with that section's current data</t>
  </si>
  <si>
    <t>LPS-25</t>
  </si>
  <si>
    <t>Update a section</t>
  </si>
  <si>
    <t>Change the title of an existing section and save</t>
  </si>
  <si>
    <t>List updates to show the new title</t>
  </si>
  <si>
    <t>LPS-26</t>
  </si>
  <si>
    <t>Delete confirmation</t>
  </si>
  <si>
    <t>Click delete on a section</t>
  </si>
  <si>
    <t>A confirmation prompt appears before deleting</t>
  </si>
  <si>
    <t>LPS-27</t>
  </si>
  <si>
    <t>Confirm delete</t>
  </si>
  <si>
    <t>Confirm the delete prompt</t>
  </si>
  <si>
    <t>Section is removed from the list, count badge goes down</t>
  </si>
  <si>
    <t>LPS-28</t>
  </si>
  <si>
    <t>Cancel delete</t>
  </si>
  <si>
    <t>Click delete then cancel the confirmation</t>
  </si>
  <si>
    <t>Section is NOT removed, still shown in the list</t>
  </si>
  <si>
    <t>LPF-01</t>
  </si>
  <si>
    <t>Landing Page Sections - On Website</t>
  </si>
  <si>
    <t>Sections appear on home page</t>
  </si>
  <si>
    <t>Create a section in admin, then open the public home page</t>
  </si>
  <si>
    <t>New section is visible on the home page</t>
  </si>
  <si>
    <t>only after old cach is deleted 5 mins</t>
  </si>
  <si>
    <t>LPF-02</t>
  </si>
  <si>
    <t>Sections follow display order</t>
  </si>
  <si>
    <t>Create 2+ sections with different Order numbers, open home page</t>
  </si>
  <si>
    <t>Sections appear on the page in the same order as the numbers set</t>
  </si>
  <si>
    <t>LPF-03</t>
  </si>
  <si>
    <t>Title &amp; subtitle shown correctly</t>
  </si>
  <si>
    <t>Compare the Title/Subtitle entered in admin with what shows on home page</t>
  </si>
  <si>
    <t>Text matches exactly, no missing or cut text</t>
  </si>
  <si>
    <t>LPF-04</t>
  </si>
  <si>
    <t>All cards shown</t>
  </si>
  <si>
    <t>Create a section with 3 cards, check home page</t>
  </si>
  <si>
    <t>All 3 cards are visible on the home page</t>
  </si>
  <si>
    <t>LPF-05</t>
  </si>
  <si>
    <t>Card icons shown correctly</t>
  </si>
  <si>
    <t>Pick a specific icon for a card in admin, check home page</t>
  </si>
  <si>
    <t>Same icon appears next to the card on the home page</t>
  </si>
  <si>
    <t>LPF-06</t>
  </si>
  <si>
    <t>Points/bullets shown</t>
  </si>
  <si>
    <t>Add 3 points to a card, check home page</t>
  </si>
  <si>
    <t>All 3 points are visible under that card</t>
  </si>
  <si>
    <t>LPF-07</t>
  </si>
  <si>
    <t>Mobile view</t>
  </si>
  <si>
    <t>Open home page on a mobile size screen (or resize browser)</t>
  </si>
  <si>
    <t>Section still looks correct and readable, no overlap</t>
  </si>
  <si>
    <t>LPF-08</t>
  </si>
  <si>
    <t>RTL layout on site</t>
  </si>
  <si>
    <t>Check text alignment/direction of the section on home page</t>
  </si>
  <si>
    <t>Everything reads right-to-left correctly (Arabic layout)</t>
  </si>
  <si>
    <t>LPF-09</t>
  </si>
  <si>
    <t>Delete reflects on site</t>
  </si>
  <si>
    <t>Delete a section from admin, refresh the home page</t>
  </si>
  <si>
    <t>Deleted section no longer appears on the home page</t>
  </si>
  <si>
    <t>LPF-10</t>
  </si>
  <si>
    <t>Edit reflects on site</t>
  </si>
  <si>
    <t>Edit a section's text in admin, refresh the home page</t>
  </si>
  <si>
    <t>Home page shows the updated text, not the old one</t>
  </si>
  <si>
    <t>Subscription - Usage Numbers</t>
  </si>
  <si>
    <t>View plan details</t>
  </si>
  <si>
    <t>Open Subscription tab</t>
  </si>
  <si>
    <t>Plan name, billing cycle, start date, end date, max students, and price all display correctly</t>
  </si>
  <si>
    <t>Check real user count</t>
  </si>
  <si>
    <t>Open Users tab and count how many users actually exist (e.g. 9 users)</t>
  </si>
  <si>
    <t>Note down the real number of users</t>
  </si>
  <si>
    <t>Compare usage number (BUG CHECK)</t>
  </si>
  <si>
    <t>Go back to Subscription tab, check 'المستخدمون الحاليون' (Current Users) number</t>
  </si>
  <si>
    <t>Should match the real number of users counted in Users tab (currently shows 0, which is wrong)</t>
  </si>
  <si>
    <t>Available slots number</t>
  </si>
  <si>
    <t>Check 'الأماكن المتاحة' (Available Slots) number</t>
  </si>
  <si>
    <t>Should equal Max Students minus Current Users, calculated correctly</t>
  </si>
  <si>
    <t>SUB-05</t>
  </si>
  <si>
    <t>Usage number after renewing</t>
  </si>
  <si>
    <t>Renew the subscription, then check Current Users number again</t>
  </si>
  <si>
    <t>Number should still correctly reflect real users after renewal (this is the known bug area)</t>
  </si>
  <si>
    <t>Usage updates after adding a user</t>
  </si>
  <si>
    <t>Add a new user, then check Subscription tab</t>
  </si>
  <si>
    <t>Current Users count should increase by 1</t>
  </si>
  <si>
    <t>Usage updates after deleting a user</t>
  </si>
  <si>
    <t>Delete a user, then check Subscription tab</t>
  </si>
  <si>
    <t>Current Users count should decrease by 1</t>
  </si>
  <si>
    <t>Can-add-users indicator</t>
  </si>
  <si>
    <t>Check the 'يمكن إضافة مستخدمين' icon/message</t>
  </si>
  <si>
    <t>Icon should correctly show allowed (check mark) or not allowed (X) based on real usage vs max students</t>
  </si>
  <si>
    <t>REN-01</t>
  </si>
  <si>
    <t>Subscription - Renew Button</t>
  </si>
  <si>
    <t>Renew while still active (BUG CHECK)</t>
  </si>
  <si>
    <t>While the subscription is still active (not expired yet), click 'تجديد الاشتراك' (Renew Subscription)</t>
  </si>
  <si>
    <t>doesnt work and</t>
  </si>
  <si>
    <t>REN-02</t>
  </si>
  <si>
    <t>Success message on renew</t>
  </si>
  <si>
    <t>Click Renew while subscription is active</t>
  </si>
  <si>
    <t>pop you already subiscriped</t>
  </si>
  <si>
    <t>REN-03</t>
  </si>
  <si>
    <t>Message when subscription ends</t>
  </si>
  <si>
    <t>Let a subscription reach its end date (or use a test account close to expiry)</t>
  </si>
  <si>
    <t>System should clearly show a message that the subscription has ended (previously this message did not show)</t>
  </si>
  <si>
    <t>REN-04</t>
  </si>
  <si>
    <t>Renew after expiry</t>
  </si>
  <si>
    <t>After the subscription has expired, click Renew Subscription</t>
  </si>
  <si>
    <t>Renewal should work and update data</t>
  </si>
  <si>
    <t>REN-05</t>
  </si>
  <si>
    <t>End date updates after renewal</t>
  </si>
  <si>
    <t>After a successful renewal, check the 'تاريخ النهاية' (End Date) field</t>
  </si>
  <si>
    <t>End date should extend correctly based on the billing cycle (monthly/yearly)</t>
  </si>
  <si>
    <t>REN-07</t>
  </si>
  <si>
    <t>Renew button loading state</t>
  </si>
  <si>
    <t>Click Renew and immediately click it again quickly</t>
  </si>
  <si>
    <t>Button should disable / show loading so it cannot be clicked twice</t>
  </si>
  <si>
    <t>REN-08</t>
  </si>
  <si>
    <t>Renew button state after expiry with no action</t>
  </si>
  <si>
    <t>Let subscription expire and do not renew, refresh page</t>
  </si>
  <si>
    <t>Page should still clearly indicate expired status until user renews</t>
  </si>
  <si>
    <t>CQ-01</t>
  </si>
  <si>
    <t>Classification - Level dropdown</t>
  </si>
  <si>
    <t>Verify Level dropdown loads options on page load</t>
  </si>
  <si>
    <t>1. Open the Create Question page
2. Observe the Level dropdown</t>
  </si>
  <si>
    <t>Level dropdown shows 'Loading…' initially, then populates with a list of levels (Stage — Grade) from the API</t>
  </si>
  <si>
    <t>CQ-02</t>
  </si>
  <si>
    <t>Classification - Subject dropdown</t>
  </si>
  <si>
    <t>Verify Subject dropdown is disabled until a Level is selected</t>
  </si>
  <si>
    <t>1. Load the page without selecting a Level
2. Check Subject dropdown state</t>
  </si>
  <si>
    <t>Subject dropdown is disabled and shows 'Select level first'</t>
  </si>
  <si>
    <t>CQ-03</t>
  </si>
  <si>
    <t>Classification - Cascading dropdowns</t>
  </si>
  <si>
    <t>Verify selecting a Level loads correct Subjects, and selecting Subject loads Chapters, and Chapter loads Lessons</t>
  </si>
  <si>
    <t>1. Select a Level
2. Wait for Subject list to load and select a Subject
3. Select a Chapter
4. Select a Lesson</t>
  </si>
  <si>
    <t>Any valid Level e.g. 'Primary — Grade 3'</t>
  </si>
  <si>
    <t>Each dependent dropdown becomes enabled and populated only after its parent is selected; changing a parent resets and disables all its children</t>
  </si>
  <si>
    <t>CQ-04</t>
  </si>
  <si>
    <t>Classification - Metadata fields</t>
  </si>
  <si>
    <t>Verify Difficulty, Time and Points fields have correct default values</t>
  </si>
  <si>
    <t>1. Load the page and inspect the Difficulty, Time (min), and Points fields</t>
  </si>
  <si>
    <t>Difficulty defaults to 'Medium', Time (min) defaults to 5, Points defaults to 1</t>
  </si>
  <si>
    <t>CQ-05</t>
  </si>
  <si>
    <t>Classification - Time/Points number input validation</t>
  </si>
  <si>
    <t>Verify Time (min) and Points fields only accept values &gt;= 1</t>
  </si>
  <si>
    <t>1. Enter 0 or a negative number into Time (min) or Points field
2. Try to submit</t>
  </si>
  <si>
    <t>Time = 0, Points = -1</t>
  </si>
  <si>
    <t>Field should not accept values below the defined min (1); browser enforces min=1 constraint</t>
  </si>
  <si>
    <t>CQ-06</t>
  </si>
  <si>
    <t>Classification - Tags add</t>
  </si>
  <si>
    <t>Verify a tag can be added by typing text and pressing Enter</t>
  </si>
  <si>
    <t>1. Click into the Tags field
2. Type 'algebra'
3. Press Enter</t>
  </si>
  <si>
    <t>Tag text: 'algebra'</t>
  </si>
  <si>
    <t>A tag chip labeled 'algebra' appears in the tag list and the input is cleared</t>
  </si>
  <si>
    <t>CQ-07</t>
  </si>
  <si>
    <t>Classification - Tags duplicate/comma</t>
  </si>
  <si>
    <t>Verify duplicate tags are not added twice and comma key also adds a tag</t>
  </si>
  <si>
    <t>1. Add tag 'math'
2. Try adding 'math' again
3. Type 'geometry,' (with trailing comma)</t>
  </si>
  <si>
    <t>Tags: 'math', 'math', 'geometry,'</t>
  </si>
  <si>
    <t>Duplicate 'math' tag is not added again; typing 'geometry' followed by comma adds a single 'geometry' tag</t>
  </si>
  <si>
    <t>CQ-08</t>
  </si>
  <si>
    <t>Classification - Tags remove</t>
  </si>
  <si>
    <t>Verify a tag can be removed by clicking its × button</t>
  </si>
  <si>
    <t>1. Add a tag 'science'
2. Click the × icon on the tag chip</t>
  </si>
  <si>
    <t>Tag: 'science'</t>
  </si>
  <si>
    <t>The tag chip is removed from the list and from the internal tags array</t>
  </si>
  <si>
    <t>CQ-09</t>
  </si>
  <si>
    <t>Question Type - Tab switching</t>
  </si>
  <si>
    <t>Verify switching between MCQ, Essay and Passage tabs shows/hides the correct sections</t>
  </si>
  <si>
    <t>1. Click 'Essay' tab
2. Click 'Passage' tab
3. Click 'MCQ' tab</t>
  </si>
  <si>
    <t>Only the block matching the active tab is visible (MCQ block, Essay block, Passage block); Reference text block shows for Essay/Passage only; Difficulty and Points fields hide when Passage is selected</t>
  </si>
  <si>
    <t>CQ-10</t>
  </si>
  <si>
    <t>Question text - LaTeX live preview</t>
  </si>
  <si>
    <t>Verify LaTeX preview renders correctly for inline and block math</t>
  </si>
  <si>
    <t>1. Select MCQ tab
2. Type 'Solve $x^2+2x+1=0$' into Question text
3. Observe preview box</t>
  </si>
  <si>
    <t>Question text: 'Solve $x^2+2x+1=0$'</t>
  </si>
  <si>
    <t>Preview panel becomes visible below the textbox and renders the mathematical expression correctly using KaTeX; preview hides again if text is cleared</t>
  </si>
  <si>
    <t>CQ-11</t>
  </si>
  <si>
    <t>Question image upload</t>
  </si>
  <si>
    <t>Verify an image can be attached to the question and previewed</t>
  </si>
  <si>
    <t>1. Click the Question image drop zone
2. Select a valid image file (jpg/png)</t>
  </si>
  <si>
    <t>Sample image file (e.g. photo.png, &lt; 5MB)</t>
  </si>
  <si>
    <t>The zone shows the image preview, switches to 'filled' style, and displays a remove (×) button</t>
  </si>
  <si>
    <t>CQ-12</t>
  </si>
  <si>
    <t>Question image remove</t>
  </si>
  <si>
    <t>Verify the attached question image can be removed</t>
  </si>
  <si>
    <t>1. Attach an image to the question (see TC_11)
2. Click the red × remove button on the image zone</t>
  </si>
  <si>
    <t>Image preview is cleared, file input resets, and zone returns to empty/dashed 'Click to attach' state</t>
  </si>
  <si>
    <t>CQ-13</t>
  </si>
  <si>
    <t>MCQ - Add/remove option</t>
  </si>
  <si>
    <t>Verify answer options can be added and removed in MCQ mode</t>
  </si>
  <si>
    <t>1. Select MCQ tab
2. Click 'Add option' several times
3. Click the delete icon on one option row</t>
  </si>
  <si>
    <t>A new empty option row is added each time 'Add option' is clicked; clicking delete removes only that row from the list</t>
  </si>
  <si>
    <t>CQ-14</t>
  </si>
  <si>
    <t>MCQ - Mark option as correct</t>
  </si>
  <si>
    <t>Verify clicking the correct-answer icon toggles an option as correct</t>
  </si>
  <si>
    <t>1. In MCQ mode, enter text for two options
2. Click the circle icon on Option 1 to mark correct</t>
  </si>
  <si>
    <t>Option 1: 'Paris', Option 2: 'London'</t>
  </si>
  <si>
    <t>Option 1 row is highlighted green with the correct icon filled; is_correct flag is true for Option 1 only (unless multiple-correct is allowed)</t>
  </si>
  <si>
    <t>CQ-15</t>
  </si>
  <si>
    <t>MCQ - Attach image to option</t>
  </si>
  <si>
    <t>Verify an image can be attached to an individual MCQ option</t>
  </si>
  <si>
    <t>1. Click the image icon on an option row
2. Select an image file</t>
  </si>
  <si>
    <t>Sample image file</t>
  </si>
  <si>
    <t>The option row shows a thumbnail of the uploaded image in place of the image icon</t>
  </si>
  <si>
    <t>CQ-16</t>
  </si>
  <si>
    <t>Essay - Model answer and explanation</t>
  </si>
  <si>
    <t>Verify Essay tab fields accept text with LaTeX preview</t>
  </si>
  <si>
    <t>1. Select Essay tab
2. Enter text with math (e.g. '$$a^2+b^2=c^2$$') into Model answer
3. Enter text into Explanation</t>
  </si>
  <si>
    <t>Model answer: '$$a^2+b^2=c^2$$'</t>
  </si>
  <si>
    <t>Both fields accept and display text; LaTeX preview renders below each field showing the rendered formula</t>
  </si>
  <si>
    <t>CQ-17</t>
  </si>
  <si>
    <t>Reference text - Add entry / JSON preview</t>
  </si>
  <si>
    <t>Verify reference text builder adds key-value paragraph entries and shows correct JSON preview</t>
  </si>
  <si>
    <t>1. Select Essay or Passage tab
2. Click 'Add entry'
3. Enter key 'paragraphs' and a multi-line paragraph value
4. Click 'Preview JSON'</t>
  </si>
  <si>
    <t>Key: 'paragraphs', Value: 'Line one\nLine two'</t>
  </si>
  <si>
    <t>A new key/value row is added; JSON preview toggles visible and shows {"paragraphs": ["Line one", "Line two"]} formatted correctly</t>
  </si>
  <si>
    <t>CQ-18</t>
  </si>
  <si>
    <t>Reference text - Duplicate key warning</t>
  </si>
  <si>
    <t>Verify duplicate reference keys are highlighted and merged into an array</t>
  </si>
  <si>
    <t>1. Add two entries both with key 'note'
2. Observe key input styling
3. Preview JSON</t>
  </si>
  <si>
    <t>Two rows with key = 'note'</t>
  </si>
  <si>
    <t>Both key inputs are outlined in red with a tooltip about merging; resulting JSON merges both values into a single array under 'note'</t>
  </si>
  <si>
    <t>CQ-19</t>
  </si>
  <si>
    <t>Passage - Add child question</t>
  </si>
  <si>
    <t>Verify child (mini) questions can be added under Passage type and behave independently</t>
  </si>
  <si>
    <t>1. Select Passage tab
2. Click 'Add child' twice
3. Set one child to type MCQ and another to Essay</t>
  </si>
  <si>
    <t>Each child question card is numbered sequentially, supports its own type tabs (MCQ/Essay), difficulty, time, points and image, independent of the parent</t>
  </si>
  <si>
    <t>CQ-20</t>
  </si>
  <si>
    <t>Submit - Successful creation</t>
  </si>
  <si>
    <t>Verify a fully valid MCQ question submits successfully</t>
  </si>
  <si>
    <t>1. Fill Level/Subject/Chapter/Lesson
2. Enter Question text
3. Add at least 2 options, mark 1 correct
4. Click 'Create question'</t>
  </si>
  <si>
    <t>Valid complete MCQ form data</t>
  </si>
  <si>
    <t>Loader shows briefly on the submit button, POST request is sent to /create-question/, on success a green 'Question created!' toast appears and the form resets to defaults</t>
  </si>
  <si>
    <t>CQ-21</t>
  </si>
  <si>
    <t>Submit - Server validation error</t>
  </si>
  <si>
    <t>Verify an API error response is surfaced to the user</t>
  </si>
  <si>
    <t>1. Fill the form leaving a required field invalid/missing (e.g. no correct answer marked)
2. Click 'Create question'</t>
  </si>
  <si>
    <t>Incomplete/invalid MCQ data</t>
  </si>
  <si>
    <t>An alert box appears showing 'Error:' followed by the formatted JSON error response from the server; form data is NOT cleared</t>
  </si>
  <si>
    <t>CQ-22</t>
  </si>
  <si>
    <t>Submit - Network failure</t>
  </si>
  <si>
    <t>Verify a network/connection failure is handled gracefully</t>
  </si>
  <si>
    <t>1. Disable network connectivity or block the API endpoint
2. Fill valid data and click 'Create question'</t>
  </si>
  <si>
    <t>Valid form data, network offline</t>
  </si>
  <si>
    <t>An alert box appears showing 'Network error:' with the error message; loader stops and submit button is re-enabled</t>
  </si>
  <si>
    <t>CQ-23</t>
  </si>
  <si>
    <t>Clear form</t>
  </si>
  <si>
    <t>Verify 'Clear form' button prompts confirmation and resets all fields</t>
  </si>
  <si>
    <t>1. Fill in several fields (text, tags, options, image)
2. Click 'Clear form'
3. Confirm the dialog</t>
  </si>
  <si>
    <t>A confirm dialog appears; on confirming, all fields reset to default (empty text, MCQ tab active, 1 empty option row, tags cleared, difficulty=Medium, time=5, points=1)</t>
  </si>
  <si>
    <t>CQ-24</t>
  </si>
  <si>
    <t>Responsive layout</t>
  </si>
  <si>
    <t>Verify the form layout adapts correctly on small screens</t>
  </si>
  <si>
    <t>1. Resize browser window / open on mobile viewport (&lt;520px width)
2. Inspect grid2 and grid3 sections</t>
  </si>
  <si>
    <t>Viewport width e.g. 375px</t>
  </si>
  <si>
    <t>Two/three column grids (Level/Subject, Chapter/Lesson, Difficulty/Time/Points) collapse into a single column layout</t>
  </si>
  <si>
    <t>Bug_ID</t>
  </si>
  <si>
    <t>Module / Feature</t>
  </si>
  <si>
    <t>Title / Summary</t>
  </si>
  <si>
    <t>Reported By</t>
  </si>
  <si>
    <t>Detected In / Test Cycle</t>
  </si>
  <si>
    <t>Severity</t>
  </si>
  <si>
    <t>Environment</t>
  </si>
  <si>
    <t>Req_ID/US_ID</t>
  </si>
  <si>
    <t>Steps to Reproduce</t>
  </si>
  <si>
    <t>Assigned To</t>
  </si>
  <si>
    <t>Detected By</t>
  </si>
  <si>
    <t>Date Logged</t>
  </si>
  <si>
    <t>Comments / Root Cause</t>
  </si>
  <si>
    <t>Bug_001</t>
  </si>
  <si>
    <t>Logged-in user can open '/register' page via URL</t>
  </si>
  <si>
    <t>Critical</t>
  </si>
  <si>
    <t>Windows 11 / Brave</t>
  </si>
  <si>
    <t>Already logged-in users can manually access the registration page via direct URL instead of being automatically redirected to the dashboard.</t>
  </si>
  <si>
    <t>New</t>
  </si>
  <si>
    <t>2026-07-10</t>
  </si>
  <si>
    <t>Bug_002</t>
  </si>
  <si>
    <t>Logged-in user can open '/login' page via URL</t>
  </si>
  <si>
    <t>Already logged-in users can manually access the login page via direct URL instead of being automatically redirected to the dashboard</t>
  </si>
  <si>
    <t>Bug_003</t>
  </si>
  <si>
    <t>'Head' role is visible and allowed during registration code generation</t>
  </si>
  <si>
    <t>In the "Generate Join Codes" section, the dropdown menu incorrectly displays the 'Head' role. The system allows generating a registration/enrollment code for a 'Head' account, which violates business logic since these codes are strictly for enrolling students.</t>
  </si>
  <si>
    <t>Bug_004</t>
  </si>
  <si>
    <t>Tenant Admin can generate invitation codes for 'Admin' and 'Head' roles</t>
  </si>
  <si>
    <t>There is a flaw in role management permissions. The Tenant Admin is currently able to create invitation codes for administrative roles ('Admin' and 'Head'). According to business rules, admin privileges must only be granted internally by the Head account through role management, and these high-level roles should not be available for code generation.</t>
  </si>
  <si>
    <t>Bug_005</t>
  </si>
  <si>
    <t>Teacher role is blocked from creating courses while Admin can create normally</t>
  </si>
  <si>
    <t>There is a critical permission block for the 'Teacher' role. Users logged in as a Teacher cannot create or add new courses on the platform. However, the creation flow works perfectly fine and normal when logged in as an Admin.</t>
  </si>
  <si>
    <t>Bug_006</t>
  </si>
  <si>
    <t>Subject dropdown is static and does not allow instructors to add custom subjects</t>
  </si>
  <si>
    <t>During course creation (Step 1), the "Subject" field is a fixed dropdown menu. Instructors are forced to select only from the pre-defined list and cannot manually type, edit, or add a custom subject of their own choice.</t>
  </si>
  <si>
    <t>Bug_007</t>
  </si>
  <si>
    <t>Missing dedicated field for document attachments (Only Video URL field is available)</t>
  </si>
  <si>
    <t>During course creation (Step 2), there is no dedicated field or file picker to upload or link documents (like PDFs). The interface only provides fields for "Video Name" and "Video URL", forcing instructors to use the video field as a workaround for documents.</t>
  </si>
  <si>
    <t>Bug_008</t>
  </si>
  <si>
    <t>Draft courses are visible to other instructors instead of being private to the owner</t>
  </si>
  <si>
    <t>There is a data privacy bug in course visibility. When an instructor creates a course and sets it to Draft (Non-Public), the course is correctly hidden from students, but it is incorrectly visible to all other instructors on the platform. It should only be visible to the course owner, Admins, and Heads.</t>
  </si>
  <si>
    <t>Bug_009</t>
  </si>
  <si>
    <t>Question Bank – Search</t>
  </si>
  <si>
    <t>Whitespace-only search query is not trimmed and incorrectly returns an empty-state result</t>
  </si>
  <si>
    <t>Windows / Brave, Microsoft Edge (Latest)</t>
  </si>
  <si>
    <t>The Question Bank Search field accepts whitespace-only input and processes it as a valid search instead of treating it as empty.</t>
  </si>
  <si>
    <t>1. Log in as a Teacher. 2. Open the Question Bank page. 3. Enter only spaces (" ") in the Search field. 4. Click the Search button. 5. Observe the result.</t>
  </si>
  <si>
    <t>Spaces are trimmed automatically, or the input is treated as an empty search, without triggering an unexpected empty-state.</t>
  </si>
  <si>
    <t>The system treated the whitespace-only input as a valid query and displayed the "No Questions Found" message ("لم يتم العثور على أسئلة لا توجد بيانات").</t>
  </si>
  <si>
    <t>10-07-2026</t>
  </si>
  <si>
    <t>Bug_010</t>
  </si>
  <si>
    <t>Question Bank – Question Details</t>
  </si>
  <si>
    <t>Question Details page shows raw untranslated i18n keys and a sticky header that overlaps the main content</t>
  </si>
  <si>
    <t>The Question Details page displays untranslated i18n keys, and the sticky header overlaps the main question content during scrolling.</t>
  </si>
  <si>
    <t>1. Log in as a Teacher. 2. Open the Question Bank page. 3. Select any question and click "View Details". 4. Observe the header labels. 5. Scroll down the page and observe the header behavior.</t>
  </si>
  <si>
    <t>The Question Details page opens displaying all available information without errors, with all labels properly localized.</t>
  </si>
  <si>
    <t>The labels "questions.back" and "questions.copyLink" are shown as raw translation keys instead of localized text, and the header remains sticky on scroll, overlapping and blocking the main question header.</t>
  </si>
  <si>
    <t>Bug_011</t>
  </si>
  <si>
    <t>Question Bank – Solve Question</t>
  </si>
  <si>
    <t>"Solve Question" incorrectly creates a persistent exam record instead of a preview, causing loss of prior selections/filters on return</t>
  </si>
  <si>
    <t>TC_QB_013, TC_QB_014</t>
  </si>
  <si>
    <t>QB-013, QB-014</t>
  </si>
  <si>
    <t>The "Solve Question" action creates a full exam instead of opening a preview, causing users to leave the Question Bank workflow and lose previously applied filters and selections upon return.</t>
  </si>
  <si>
    <t>1. Log in as a Teacher. 2. Open the Question Bank page. 3. Click "Solve Question" on any question. 4. Observe the Exams page and open the newly created item. 5. Navigate back to the Question Bank via the sidebar. 6. Observe filters/selections.</t>
  </si>
  <si>
    <t>"Solve Question" opens a direct preview/solving page without affecting original question data or creating exam records; returning to the Question Bank preserves previously selected questions and applied filters.</t>
  </si>
  <si>
    <t>An isolated exam is created in the Exams page and opens as a full exam interface; returning to the Question Bank via the sidebar clears all previously applied filters and selections.</t>
  </si>
  <si>
    <t>Bug_012</t>
  </si>
  <si>
    <t>Question Bank – Question Selection</t>
  </si>
  <si>
    <t>Rapid repeated clicks on the (+) Add button cause an unstable add/remove loop instead of a single stable selection</t>
  </si>
  <si>
    <t>The (+) Add button does not handle rapid repeated clicks correctly, causing the selected question to toggle between added and removed states instead of remaining selected.</t>
  </si>
  <si>
    <t>1. Log in as a Teacher. 2. Open the Question Bank page. 3. Locate any question. 4. Click the (+) Add button several times quickly. 5. Observe the Selected Questions section and the selection counter.</t>
  </si>
  <si>
    <t>Only one instance of the question is added; no duplicate entries or UI instability occurs regardless of click speed.</t>
  </si>
  <si>
    <t>Rapid clicks cause the question to be repeatedly added and removed in sequence, producing an unstable UI state.</t>
  </si>
  <si>
    <t>Bug_013</t>
  </si>
  <si>
    <t>Question Bank – Selected Questions Panel</t>
  </si>
  <si>
    <t>No direct Remove/Delete control exists inside the Selected Questions panel</t>
  </si>
  <si>
    <t>The Selected Questions panel lacks a direct Remove/Delete option, requiring users to return to the main question list to remove selected items.</t>
  </si>
  <si>
    <t>1. Log in as a Teacher. 2. Open the Question Bank page. 3. Add one or more questions. 4. Go to the Selected Questions section. 5. Attempt to remove a question directly from this panel.</t>
  </si>
  <si>
    <t>The selected question is removed successfully from within the Selected Questions panel, and the counter decreases accordingly.</t>
  </si>
  <si>
    <t>No Remove/Delete button exists in the Selected Questions panel; removal is only possible via the main question list's delete icon.</t>
  </si>
  <si>
    <t>Bug_014</t>
  </si>
  <si>
    <t>Selected Questions panel lacks scroll support, making questions beyond the fourth selection inaccessible</t>
  </si>
  <si>
    <t>The Selected Questions panel does not provide scrolling, making additional selected questions inaccessible once the visible limit is exceeded.</t>
  </si>
  <si>
    <t>1. Log in as a Teacher. 2. Open the Question Bank page. 3. Add 5 or more questions using the (+) Add button. 4. Observe the Selected Questions panel. 5. Attempt to scroll within the panel.</t>
  </si>
  <si>
    <t>A vertical scrollbar appears (or the panel expands), allowing access to all selected questions; no selection becomes inaccessible.</t>
  </si>
  <si>
    <t>After selecting more than four questions, additional selections become inaccessible because the panel provides no scrollbar.</t>
  </si>
  <si>
    <t>Bug_015</t>
  </si>
  <si>
    <t>Long question text is truncated in the Selected Questions panel, breaking the layout</t>
  </si>
  <si>
    <t>Long question text is truncated in the Selected Questions panel instead of wrapping correctly, reducing readability.</t>
  </si>
  <si>
    <t>1. Log in as a Teacher. 2. Open the Question Bank page. 3. Locate a question with long question text. 4. Click (+) to add it to the Selected Questions panel. 5. Observe how the text is displayed.</t>
  </si>
  <si>
    <t>The full question text wraps correctly within the panel without being cut off, overlapping other elements, or breaking the layout.</t>
  </si>
  <si>
    <t>The question text is truncated/cut off inside the panel, and the layout appears broken.</t>
  </si>
  <si>
    <t>Bug_016</t>
  </si>
  <si>
    <t>Question Bank – Filters</t>
  </si>
  <si>
    <t>Tag and Education Level filters incorrectly return "No Questions Found" despite matching questions existing</t>
  </si>
  <si>
    <t>TC_QB_038, TC_QB_039</t>
  </si>
  <si>
    <t>QB-038, QB-039</t>
  </si>
  <si>
    <t>Question Bank filters return "No Questions Found" despite matching questions existing, indicating incorrect filter logic.</t>
  </si>
  <si>
    <t>1. Log in as a Teacher. 2. Open the Question Bank page. 3. Apply the "Free Response" tag filter, and separately apply a Levels filter (Preparatory Stage → Grade 1 → Mathematics). 4. Observe the displayed questions in each case.</t>
  </si>
  <si>
    <t>Only questions matching the selected tag or level hierarchy are displayed; an appropriate "No Questions Found" message is shown only when no matching data genuinely exists.</t>
  </si>
  <si>
    <t>Both filters return "No Questions Found / No Data" although matching questions exist for each.</t>
  </si>
  <si>
    <t>Bug_017</t>
  </si>
  <si>
    <t>Exam Creation – Instructions Field</t>
  </si>
  <si>
    <t>Instructions field fails to wrap long unbroken text strings, causing content to be visually cut off in student view</t>
  </si>
  <si>
    <t>The Instructions field fails to wrap long continuous text, causing it to be truncated in the student view.</t>
  </si>
  <si>
    <t>1. Log in as a Teacher. 2. Open the Create Exam page. 3. Paste a long continuous string of text without spaces (~1000 characters) into the Instructions field. 4. Complete remaining required fields and click Create Exam. 5. View the exam as a student.</t>
  </si>
  <si>
    <t>The complete text is accepted and displayed correctly without affecting page layout or functionality, regardless of spacing.</t>
  </si>
  <si>
    <t>Unbroken long text does not wrap and is severely truncated/visually inaccessible in the student view; text with normal spaces wraps correctly.</t>
  </si>
  <si>
    <t>Bug_018</t>
  </si>
  <si>
    <t>Exam Creation</t>
  </si>
  <si>
    <t>"Assign Class" field is not enforced as mandatory, allowing exam creation without a class selected</t>
  </si>
  <si>
    <t>The system allows exam creation without selecting an Assign Class, although the field is required.</t>
  </si>
  <si>
    <t>1. Log in as a Teacher. 2. Open the Create Exam page. 3. Leave the "Assign Class" field empty. 4. Complete all remaining required fields. 5. Click Create Exam. 6. Observe the result.</t>
  </si>
  <si>
    <t>A validation message is displayed and the exam is not created; the user remains on the Create Exam page.</t>
  </si>
  <si>
    <t>The exam is created successfully despite no class being selected; no validation message is shown.</t>
  </si>
  <si>
    <t>Bug_019</t>
  </si>
  <si>
    <t>Exam Creation / Exams Dashboard</t>
  </si>
  <si>
    <t>Manually selected exam difficulty (Easy/Medium/Hard) is overridden by a dynamically calculated value on the Exams page</t>
  </si>
  <si>
    <t>TC_EXM_062, TC_EXM_063, TC_EXM_064</t>
  </si>
  <si>
    <t>FR-EXM-023, FR-EXM-024, FR-EXM-025</t>
  </si>
  <si>
    <t xml:space="preserve">The manually selected exam difficulty is ignored, and the system displays a calculated difficulty based on question levels. </t>
  </si>
  <si>
    <t>1. Log in as a Teacher. 2. Open the Create Exam page. 3. Select a difficulty level (Easy, Medium, or Hard) from the Difficulty dropdown. 4. Complete remaining required fields and click Create Exam. 5. Open the Exams page and check the displayed difficulty.</t>
  </si>
  <si>
    <t>The exam is created and the difficulty selected during creation (Easy, Medium, or Hard) is saved and displayed as-is on the Exams page.</t>
  </si>
  <si>
    <t>The Exams page overrides the manually selected difficulty and instead displays a value computed from the selected questions' levels, for all three difficulty options.</t>
  </si>
  <si>
    <t>Bug_020</t>
  </si>
  <si>
    <t>Exam Creation – Override Rules</t>
  </si>
  <si>
    <t>Override Rule can be added with empty required fields, bypassing validation</t>
  </si>
  <si>
    <t>The system allows exam creation with empty required Override Rule fields without displaying validation messages.</t>
  </si>
  <si>
    <t>1. Log in as a Teacher. 2. Open the Create Exam page. 3. Click "Add Rule". 4. Leave the required fields of the rule empty. 5. Click Create Exam. 6. Observe the result.</t>
  </si>
  <si>
    <t>Appropriate validation messages are displayed and the exam is not created until valid values are entered into the Override Rule fields.</t>
  </si>
  <si>
    <t>The system accepts the exam creation with empty Override Rule fields; no validation message is displayed.</t>
  </si>
  <si>
    <t>Bug_021</t>
  </si>
  <si>
    <t>Exam Management – Edit Exam</t>
  </si>
  <si>
    <t>Saving an edited exam fails with a generic error, and changes are not persisted</t>
  </si>
  <si>
    <t>Saving changes to an existing exam fails and displays a generic error message instead of updating the exam.</t>
  </si>
  <si>
    <t>1. Log in as Teacher/Admin. 2. Open the Edit Exam page for an existing exam. 3. Modify one or more editable fields. 4. Click Save. 5. Observe the result.</t>
  </si>
  <si>
    <t>The system fails to update the record and displays the generic error message "حدث خطأ ما" ("Something went wrong").</t>
  </si>
  <si>
    <t>Bug_022</t>
  </si>
  <si>
    <t>Exams Dashboard – Filters</t>
  </si>
  <si>
    <t>Browser refresh clears the active exam status filter, resetting the dashboard to its default state</t>
  </si>
  <si>
    <t>Refreshing the Exams page clears the applied status filter instead of preserving the current filter state.</t>
  </si>
  <si>
    <t>1. Log in as Teacher/Admin. 2. Open the Exams page. 3. Apply any status filter. 4. Refresh the browser. 5. Observe the displayed exams.</t>
  </si>
  <si>
    <t>The page reloads correctly and continues to reflect the previously applied status filter.</t>
  </si>
  <si>
    <t>Refreshing the browser resets and clears the active filter, returning the dashboard to its default state.</t>
  </si>
  <si>
    <t>Bug_023</t>
  </si>
  <si>
    <t>Exam Management – Deleted Exam Access</t>
  </si>
  <si>
    <t>Test execution for deleted-exam direct access control recorded as Failed</t>
  </si>
  <si>
    <t>The test case is marked as Failed, but the recorded Actual Result indicates successful behavior, creating an inconsistency that requires re-verification.</t>
  </si>
  <si>
    <t>1. Log in as Teacher/Admin. 2. Delete an existing exam. 3. Navigate directly to the deleted exam's URL. 4. Observe the system response.</t>
  </si>
  <si>
    <t>As recorded in the test sheet: "The system functions as expected and all related actions were verified successfully." (Status logged as Fail; the recorded actual-result text does not specify what, if anything, deviated from expected behavior.)</t>
  </si>
  <si>
    <t>10-07-2027</t>
  </si>
  <si>
    <t>Bug_024</t>
  </si>
  <si>
    <t>Plan Selection</t>
  </si>
  <si>
    <t>Duplicate "Teacher" package card displayed under Basic Plan</t>
  </si>
  <si>
    <t>TC-01</t>
  </si>
  <si>
    <t>UI</t>
  </si>
  <si>
    <t>The Basic subscription plan displays two identical Teacher package cards, causing UI inconsistency and user confusion.</t>
  </si>
  <si>
    <t>1. Open Pricing page. 
2. Navigate to Basic Plan. 
3. Observe available packages.</t>
  </si>
  <si>
    <t>Only one Teacher package card should be displayed under the Basic plan.</t>
  </si>
  <si>
    <t>Two identical Teacher package cards are displayed.</t>
  </si>
  <si>
    <t>Bug_025</t>
  </si>
  <si>
    <t>Payment code can be redeemed more than once</t>
  </si>
  <si>
    <t>TC-15</t>
  </si>
  <si>
    <t>The system allows an already redeemed payment code to be redeemed again.</t>
  </si>
  <si>
    <t>1. Login as Head/Admin. 
2. Redeem a valid payment code. 
3. Redeem the same code again.</t>
  </si>
  <si>
    <t>Second redemption should be rejected and balance unchanged.</t>
  </si>
  <si>
    <t>Code is accepted again and balance increases.</t>
  </si>
  <si>
    <t>Bug_026</t>
  </si>
  <si>
    <t>Student payment redemption does not update tenant balance</t>
  </si>
  <si>
    <t>TC-20</t>
  </si>
  <si>
    <t>Student redemption does not credit tenant balance.</t>
  </si>
  <si>
    <t>1. Login as Student. 
2. Redeem a valid code. 
3. Check tenant balance.</t>
  </si>
  <si>
    <t>Balance should increase and payment become Redeemed.</t>
  </si>
  <si>
    <t>Payment is Redeemed but balance is unchanged.</t>
  </si>
  <si>
    <t>Bug_027</t>
  </si>
  <si>
    <t>Invalid payment code is accepted</t>
  </si>
  <si>
    <t>TC-25</t>
  </si>
  <si>
    <t>Invalid payment code is processed successfully.</t>
  </si>
  <si>
    <t>1. Login. 
2. Enter invalid code. 
3. Click Redeem.</t>
  </si>
  <si>
    <t>Code should be rejected.</t>
  </si>
  <si>
    <t>Invalid code is accepted.</t>
  </si>
  <si>
    <t>Bug_028</t>
  </si>
  <si>
    <t>Duplicate subdomain is accepted</t>
  </si>
  <si>
    <t>TC-30</t>
  </si>
  <si>
    <t>Duplicate subdomain allowed.</t>
  </si>
  <si>
    <t>1. Register institution. 
2. Enter existing subdomain. 
3. Submit.</t>
  </si>
  <si>
    <t>Duplicate subdomain should be rejected.</t>
  </si>
  <si>
    <t>Institution created successfully.</t>
  </si>
  <si>
    <t>Bug_029</t>
  </si>
  <si>
    <t>Withdrawal rejection allows empty rejection reason</t>
  </si>
  <si>
    <t>TC-35</t>
  </si>
  <si>
    <t>Superuser can reject without reason.</t>
  </si>
  <si>
    <t>1. Open pending request. 
2. Reject with empty reason.</t>
  </si>
  <si>
    <t>Reason should be mandatory.</t>
  </si>
  <si>
    <t>Request rejected without reason.</t>
  </si>
  <si>
    <t>Bug_030</t>
  </si>
  <si>
    <t>Subscription downgrade ignores current usage limits</t>
  </si>
  <si>
    <t>TC-45</t>
  </si>
  <si>
    <t>Downgrade allowed although usage exceeds limits.</t>
  </si>
  <si>
    <t>1. Exceed plan limits. 
2. Downgrade.</t>
  </si>
  <si>
    <t>Downgrade should be rejected.</t>
  </si>
  <si>
    <t>Downgrade succeeds.</t>
  </si>
  <si>
    <t>Bug_031</t>
  </si>
  <si>
    <t>Renewal calculates incorrect expiry date</t>
  </si>
  <si>
    <t>TC-50</t>
  </si>
  <si>
    <t>Incorrect renewal date calculation.</t>
  </si>
  <si>
    <t>1. Renew subscription.
 2. Verify expiry.</t>
  </si>
  <si>
    <t>Expiry = previous end + cycle + 7-day buffer.</t>
  </si>
  <si>
    <t>Incorrect expiry date.</t>
  </si>
  <si>
    <t>Bug_032</t>
  </si>
  <si>
    <t>Pending Renewal not triggered 7 days before expiry</t>
  </si>
  <si>
    <t>TC-55</t>
  </si>
  <si>
    <t>Status remains Active.</t>
  </si>
  <si>
    <t>1. Set expiry to 7 days. 
2. Run scheduler.</t>
  </si>
  <si>
    <t>Status changes to Pending Renewal and email sent.</t>
  </si>
  <si>
    <t>BUG-033</t>
  </si>
  <si>
    <t>Landing Page Sections - Admin (Create Section Form)</t>
  </si>
  <si>
    <t>Display Order field defaults to 1 and blocks empty-value validation testing</t>
  </si>
  <si>
    <t>QA Engineer</t>
  </si>
  <si>
    <t>Regression Testing Cycle</t>
  </si>
  <si>
    <t>Web - Staging/UAT</t>
  </si>
  <si>
    <t>The Display Order field cannot be cleared to an empty value, preventing verification of the required-field validation.</t>
  </si>
  <si>
    <t>1. Open the Create Section form.
2. Attempt to clear the 'ترتيب العرض' (Display Order) field.
3. Try to submit the form.</t>
  </si>
  <si>
    <t>Form shows an error and does not save when Display Order is left empty.</t>
  </si>
  <si>
    <t>Display Order field cannot be cleared/emptied; it defaults to 1, so the empty-field validation cannot be triggered or verified.</t>
  </si>
  <si>
    <t>Open</t>
  </si>
  <si>
    <t>Developer</t>
  </si>
  <si>
    <t>BUG-034</t>
  </si>
  <si>
    <t>'Add Card' button throws an error when an existing card is left empty</t>
  </si>
  <si>
    <t>Clicking 'Add Card' while an existing card has empty fields throws an error instead of adding a new card.</t>
  </si>
  <si>
    <t>1. Open the Create Section form.
2. Leave the existing card's fields empty.
3. Click 'إضافة بطاقة' (Add Card).</t>
  </si>
  <si>
    <t>A new empty card box is added below the existing one.</t>
  </si>
  <si>
    <t>An error is thrown when attempting to add a card while the existing card is empty.</t>
  </si>
  <si>
    <t>BUG-035</t>
  </si>
  <si>
    <t>Card order arrows not disabled when only one card exists</t>
  </si>
  <si>
    <t>The card reorder (up/down) buttons remain enabled and clickable even when only one card exists in the section form.</t>
  </si>
  <si>
    <t>1. Open the Create Section form.
2. Ensure only 1 card exists in the form.
3. Check the state of the up/down arrow buttons on the card.</t>
  </si>
  <si>
    <t>Both up and down arrows are disabled (greyed out) when only 1 card exists.</t>
  </si>
  <si>
    <t>The up/down arrows remain active and the card can be reordered even though only one card is present.</t>
  </si>
  <si>
    <t>BUG-036</t>
  </si>
  <si>
    <t>Current Users count incorrect after subscription renewal</t>
  </si>
  <si>
    <t>The 'Current Users' count on the Subscription tab does not correctly reflect the actual number of users after a subscription renewal.</t>
  </si>
  <si>
    <t>1. Note the real user count in the Users tab.
2. Go to the Subscription tab and renew the subscription.
3. Check the 'المستخدمون الحاليون' (Current Users) number again.</t>
  </si>
  <si>
    <t>The Current Users number should still correctly reflect the real number of users after renewal.</t>
  </si>
  <si>
    <t>Current Users count does not correctly reflect the real user count after renewal (known bug area).</t>
  </si>
  <si>
    <t>BUG-037</t>
  </si>
  <si>
    <t>Missing feedback message when renewing an already-active subscription</t>
  </si>
  <si>
    <t>No confirmation or informational message is displayed when a user attempts to renew an already-active subscription.</t>
  </si>
  <si>
    <t>1. Ensure the subscription is still active (not expired).
2. Click 'تجديد الاشتراك' (Renew Subscription).</t>
  </si>
  <si>
    <t>A clear success/informational message should be shown when Renew is clicked while the subscription is active.</t>
  </si>
  <si>
    <t>No message is displayed indicating the user is already subscribed; no feedback is given to the user.</t>
  </si>
  <si>
    <t>BUG-038</t>
  </si>
  <si>
    <t>Expired subscription status/message not displayed correctly</t>
  </si>
  <si>
    <t>REN-03, REN-08</t>
  </si>
  <si>
    <t>The system does not clearly indicate that a subscription has expired, both when it first reaches its end date and after refreshing the page with no renewal action taken.</t>
  </si>
  <si>
    <t>1. Let a subscription reach its end date (or use a test account close to expiry).
2. Observe whether an expiration message is shown.
3. Without renewing, refresh the page and observe the displayed subscription status.</t>
  </si>
  <si>
    <t>System should clearly show a message that the subscription has ended, and the page should continue to clearly indicate expired status until the user renews.</t>
  </si>
  <si>
    <t>No message shows when the subscription reaches its end date; expired status is not clearly indicated after a page refresh with no renewal action.</t>
  </si>
  <si>
    <t>BUG-039</t>
  </si>
  <si>
    <t>Exams - Creation</t>
  </si>
  <si>
    <t>Exam creation accepts zero/negative duration</t>
  </si>
  <si>
    <t>Hamza Musallam</t>
  </si>
  <si>
    <t>Exams Module - Test Cycle 1</t>
  </si>
  <si>
    <t>Web - https://zakerai.org/ (TBC: browser/OS/device)</t>
  </si>
  <si>
    <t>Duration field does not validate for zero/negative values, allowing an exam with an invalid duration to be created.</t>
  </si>
  <si>
    <t>1. Go to 'Create Exam' page
2. Fill in all required fields
3. Enter duration = 0 or a negative number (e.g. -10)
4. Click 'Save' / 'Create'</t>
  </si>
  <si>
    <t>No validation error is shown for duration = 0 or a negative value; the exam appears to be saved/created</t>
  </si>
  <si>
    <t>Unassigned</t>
  </si>
  <si>
    <t>TBC by developer/QA during triage</t>
  </si>
  <si>
    <t>BUG-040</t>
  </si>
  <si>
    <t>Removed question still included after saving the exam</t>
  </si>
  <si>
    <t>Removing a question during exam creation is not persisted correctly when the exam is saved.</t>
  </si>
  <si>
    <t>1. Go to 'Create Exam' page
2. Add 5 questions to the exam
3. Remove 1 of the added questions
4. Save the exam</t>
  </si>
  <si>
    <t>The saved exam does not reflect the removal; the removed question is still present (or the question count is incorrect) after saving</t>
  </si>
  <si>
    <t>BUG-041</t>
  </si>
  <si>
    <t>Duplicate exam name handling is inconsistent / undefined</t>
  </si>
  <si>
    <t>No defined or consistent behavior for duplicate exam names; needs a product decision and consistent implementation.</t>
  </si>
  <si>
    <t>System either warns about duplicate names or allows it per a documented, consistent design</t>
  </si>
  <si>
    <t>Behavior is inconsistent/unclear — no warning is shown and no documented rule could be confirmed</t>
  </si>
  <si>
    <t>BUG-042</t>
  </si>
  <si>
    <t>Answer-choice shuffle breaks correct-answer mapping for MCQ questions</t>
  </si>
  <si>
    <t>Shuffle-answers feature does not correctly remap the correct answer, resulting in incorrect auto-grading.</t>
  </si>
  <si>
    <t>1. Enable 'Shuffle answer choices' on an exam containing MCQ questions
2. Save and publish
3. Have two different students take the exam and compare answer order and scoring</t>
  </si>
  <si>
    <t>Answer order is shuffled, but the correct-answer mapping does not follow the shuffle, causing incorrect grading of MCQ answers</t>
  </si>
  <si>
    <t>BUG-043</t>
  </si>
  <si>
    <t>Duplicating/cloning an exam does not create an independent copy</t>
  </si>
  <si>
    <t>Exam duplication/cloning does not fully decouple the copy from the source exam.</t>
  </si>
  <si>
    <t>Cloned exam is not fully independent — editing the copy appears to affect the original exam, or the clone is missing questions/settings</t>
  </si>
  <si>
    <t>BUG-044</t>
  </si>
  <si>
    <t>Allowed-attempts limit is not enforced</t>
  </si>
  <si>
    <t>Attempt-limit configuration is not enforced server-side, allowing unlimited attempts.</t>
  </si>
  <si>
    <t>Student is able to start additional attempts beyond the configured limit; no blocking message is shown</t>
  </si>
  <si>
    <t>BUG-045</t>
  </si>
  <si>
    <t>Pass/Fail status does not correctly reflect the configured passing score</t>
  </si>
  <si>
    <t>Pass/Fail evaluation logic does not correctly apply the configured passing-score threshold.</t>
  </si>
  <si>
    <t>Pass/Fail status shown in results does not match the configured threshold (e.g. a below-threshold score is marked as Pass, or vice versa)</t>
  </si>
  <si>
    <t>BUG-046</t>
  </si>
  <si>
    <t>Exam not available to all classes/groups when assigned to multiple groups at once</t>
  </si>
  <si>
    <t>Multi-group assignment does not propagate exam visibility to all selected classes/groups.</t>
  </si>
  <si>
    <t>The exam is only available to one of the assigned groups; students in the other assigned group(s) cannot see/access it</t>
  </si>
  <si>
    <t>BUG-047</t>
  </si>
  <si>
    <t>Exam schedule not correctly converted across time zones</t>
  </si>
  <si>
    <t>Exam start/end times are not correctly converted between teacher and student time zones.</t>
  </si>
  <si>
    <t>The displayed start/end time for the student is not correctly converted to their local time zone</t>
  </si>
  <si>
    <t>BUG-048</t>
  </si>
  <si>
    <t>Exams - Submission</t>
  </si>
  <si>
    <t>Submitted exam attempt can be reopened and resubmitted/edited</t>
  </si>
  <si>
    <t>Submission-lock logic does not prevent edits/resubmission of an already-submitted exam attempt.</t>
  </si>
  <si>
    <t>1. Submit an exam attempt as a student
2. Attempt to reopen the same exam attempt
3. Attempt to change answers or resubmit</t>
  </si>
  <si>
    <t>The already-submitted attempt can be reopened and answers can be changed/resubmitted, with no blocking message shown</t>
  </si>
  <si>
    <t>BUG-049</t>
  </si>
  <si>
    <t>Loss of network connection during submission risks losing student answers</t>
  </si>
  <si>
    <t>No resilient retry/recovery handling for network loss during final submission.</t>
  </si>
  <si>
    <t>1. Start submitting an exam
2. Disable the network connection immediately after clicking 'Submit'
3. Restore connection and check the attempt/answers</t>
  </si>
  <si>
    <t>No clear error/retry is shown, and the student's answers/submission appear to be lost or left in an inconsistent state after the connection is restored</t>
  </si>
  <si>
    <t>BUG-050</t>
  </si>
  <si>
    <t>Second exam attempt not scored per the configured multiple-attempts rule</t>
  </si>
  <si>
    <t>Scoring logic for multiple allowed attempts does not correctly apply the configured best/latest-attempt rule.</t>
  </si>
  <si>
    <t>1. Complete and submit a first exam attempt
2. Start a second attempt
3. Complete and submit the second attempt</t>
  </si>
  <si>
    <t>Both attempts are recorded; the final displayed score follows the configured rule (e.g. best attempt or latest attempt)</t>
  </si>
  <si>
    <t>The displayed final score does not follow the configured rule (e.g. wrong attempt's score is shown, or only one attempt is recorded)</t>
  </si>
  <si>
    <t>BUG-051</t>
  </si>
  <si>
    <t>Manually graded essay score is not correctly included in the student's total score</t>
  </si>
  <si>
    <t>Manual essay grades are not being aggregated correctly into the student's total exam score.</t>
  </si>
  <si>
    <t>1. Student submits an exam containing an essay/free-text answer
2. Teacher opens the submission and enters a manual grade/feedback for the essay question
3. Save the grade and check the student's total score</t>
  </si>
  <si>
    <t>The manual essay grade is saved but is not correctly reflected in the student's total/overall score</t>
  </si>
  <si>
    <t>BUG-052</t>
  </si>
  <si>
    <t>Teacher's manual score override is not reflected in the student's results view</t>
  </si>
  <si>
    <t>Manual score overrides by the teacher do not propagate to the student-facing results view.</t>
  </si>
  <si>
    <t>1. Teacher opens a student's submission
2. Adjust the score for one or more questions
3. Save the changes and check the student's total grade and results view</t>
  </si>
  <si>
    <t>The adjusted question score is saved on the teacher side but the student's total grade/results view does not update to match</t>
  </si>
  <si>
    <t>BUG-053</t>
  </si>
  <si>
    <t>Students do not receive a notification when exam results are published</t>
  </si>
  <si>
    <t>Results-published notification (email/in-app) is not being triggered/delivered to students.</t>
  </si>
  <si>
    <t>1. Teacher completes grading (including any manual essay grading)
2. Check the student's notifications (email/in-app)</t>
  </si>
  <si>
    <t>No notification (email or in-app) is received by the student after grading is completed</t>
  </si>
  <si>
    <t>BUG-054</t>
  </si>
  <si>
    <t>Bulk exported exam results (CSV/Excel) do not match the on-screen results</t>
  </si>
  <si>
    <t>Bulk export feature produces a file that is inconsistent with the on-screen results/grades data.</t>
  </si>
  <si>
    <t>1. Open the exam's results/grades page
2. Click 'Export' and choose a format (e.g. CSV/Excel)
3. Open the exported file and compare to the on-screen results</t>
  </si>
  <si>
    <t>The exported file is missing data, contains incorrect values, or does not match what's displayed on the results page</t>
  </si>
  <si>
    <t>Linked_TestCases</t>
  </si>
  <si>
    <t>TC_Count</t>
  </si>
  <si>
    <t>Coverage_Status</t>
  </si>
  <si>
    <t>Bug_Count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</si>
</sst>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yyyy\-mm\-dd\ h:mm:ss"/>
  </numFmts>
  <fonts count="24">
    <font>
      <sz val="11"/>
      <color theme="1"/>
      <name val="Calibri"/>
      <charset val="134"/>
      <scheme val="minor"/>
    </font>
    <font>
      <b/>
      <sz val="11"/>
      <color rgb="FFFFFFFF"/>
      <name val="Calibri"/>
      <charset val="134"/>
    </font>
    <font>
      <b/>
      <sz val="16"/>
      <color rgb="FF1F4E78"/>
      <name val="Calibri"/>
      <charset val="134"/>
      <scheme val="minor"/>
    </font>
    <font>
      <b/>
      <sz val="1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12">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178" fontId="0" fillId="0" borderId="1" xfId="0" applyNumberFormat="1" applyBorder="1" applyAlignment="1">
      <alignment vertical="top" wrapText="1"/>
    </xf>
    <xf numFmtId="0" fontId="2" fillId="0" borderId="0" xfId="0" applyFont="1"/>
    <xf numFmtId="0" fontId="1" fillId="2" borderId="1" xfId="0" applyFont="1" applyFill="1" applyBorder="1"/>
    <xf numFmtId="0" fontId="3" fillId="0" borderId="1" xfId="0" applyFont="1" applyBorder="1"/>
    <xf numFmtId="0" fontId="0" fillId="0" borderId="1" xfId="0" applyBorder="1"/>
    <xf numFmtId="10" fontId="0" fillId="0" borderId="1" xfId="0" applyNumberFormat="1" applyBorder="1"/>
    <xf numFmtId="0" fontId="3" fillId="0" borderId="0" xfId="0" applyFont="1" applyAlignment="1">
      <alignment vertical="top"/>
    </xf>
    <xf numFmtId="0" fontId="0" fillId="0" borderId="0" xfId="0" applyAlignment="1">
      <alignment vertical="top" wrapText="1"/>
    </xf>
    <xf numFmtId="0" fontId="4" fillId="0" borderId="0" xfId="0" applyFo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5">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D9D9D9"/>
        </patternFill>
      </fill>
    </dxf>
    <dxf>
      <font>
        <b val="1"/>
        <color rgb="FFFFFFFF"/>
      </font>
      <fill>
        <patternFill patternType="solid">
          <fgColor rgb="FFC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
  <sheetViews>
    <sheetView tabSelected="1" workbookViewId="0">
      <selection activeCell="E23" sqref="B18 E23"/>
    </sheetView>
  </sheetViews>
  <sheetFormatPr defaultColWidth="9" defaultRowHeight="14.4" outlineLevelCol="1"/>
  <cols>
    <col min="1" max="1" width="35" customWidth="1"/>
    <col min="2" max="2" width="60" customWidth="1"/>
  </cols>
  <sheetData>
    <row r="1" spans="1:2">
      <c r="A1" s="9" t="s">
        <v>0</v>
      </c>
      <c r="B1" s="10" t="s">
        <v>1</v>
      </c>
    </row>
    <row r="2" spans="1:2">
      <c r="A2" s="9" t="s">
        <v>2</v>
      </c>
      <c r="B2" s="10" t="s">
        <v>3</v>
      </c>
    </row>
    <row r="3" spans="1:2">
      <c r="A3" s="9" t="s">
        <v>4</v>
      </c>
      <c r="B3" s="10" t="s">
        <v>5</v>
      </c>
    </row>
    <row r="4" spans="1:2">
      <c r="A4" s="9" t="s">
        <v>6</v>
      </c>
      <c r="B4" s="10" t="s">
        <v>7</v>
      </c>
    </row>
    <row r="5" spans="1:2">
      <c r="A5" s="9" t="s">
        <v>8</v>
      </c>
      <c r="B5" s="10" t="s">
        <v>9</v>
      </c>
    </row>
    <row r="6" spans="1:2">
      <c r="A6" s="9" t="s">
        <v>10</v>
      </c>
      <c r="B6" s="10" t="s">
        <v>11</v>
      </c>
    </row>
    <row r="7" spans="1:2">
      <c r="A7" s="9" t="s">
        <v>12</v>
      </c>
      <c r="B7" s="10" t="s">
        <v>13</v>
      </c>
    </row>
    <row r="8" spans="1:2">
      <c r="A8" s="9" t="s">
        <v>14</v>
      </c>
      <c r="B8" s="10">
        <v>144</v>
      </c>
    </row>
    <row r="9" spans="1:2">
      <c r="A9" s="11" t="s">
        <v>15</v>
      </c>
      <c r="B9" t="s">
        <v>16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2"/>
  <sheetViews>
    <sheetView workbookViewId="0">
      <selection activeCell="A1" sqref="A1:D1"/>
    </sheetView>
  </sheetViews>
  <sheetFormatPr defaultColWidth="9" defaultRowHeight="14.4"/>
  <cols>
    <col min="1" max="1" width="30" customWidth="1"/>
    <col min="2" max="2" width="14" customWidth="1"/>
    <col min="3" max="3" width="4" customWidth="1"/>
    <col min="4" max="4" width="22" customWidth="1"/>
    <col min="5" max="8" width="10" customWidth="1"/>
    <col min="9" max="9" width="14" customWidth="1"/>
  </cols>
  <sheetData>
    <row r="1" ht="21" spans="1:9">
      <c r="A1" s="4" t="s">
        <v>17</v>
      </c>
    </row>
    <row r="3" spans="1:9">
      <c r="A3" s="5" t="s">
        <v>18</v>
      </c>
      <c r="B3" s="5" t="s">
        <v>19</v>
      </c>
      <c r="D3" s="5" t="s">
        <v>20</v>
      </c>
      <c r="E3" s="5" t="s">
        <v>21</v>
      </c>
      <c r="F3" s="5" t="s">
        <v>22</v>
      </c>
      <c r="G3" s="5" t="s">
        <v>23</v>
      </c>
      <c r="H3" s="5" t="s">
        <v>24</v>
      </c>
      <c r="I3" s="5" t="s">
        <v>25</v>
      </c>
    </row>
    <row r="4" spans="1:9">
      <c r="A4" s="6" t="s">
        <v>26</v>
      </c>
      <c r="B4" s="7">
        <f>COUNTA(Requirements!A2:A145)</f>
        <v>144</v>
      </c>
      <c r="D4" s="7" t="s">
        <v>27</v>
      </c>
      <c r="E4" s="7">
        <f>COUNTIF(Test_Cases!M2:M368,"M_Atef")</f>
        <v>47</v>
      </c>
      <c r="F4" s="7">
        <f>COUNTIFS(Test_Cases!M2:M368,"M_Atef",Test_Cases!L2:L368,"Passed")</f>
        <v>29</v>
      </c>
      <c r="G4" s="7">
        <f>COUNTIFS(Test_Cases!M2:M368,"M_Atef",Test_Cases!L2:L368,"Failed")</f>
        <v>8</v>
      </c>
      <c r="H4" s="7">
        <f>COUNTIFS(Test_Cases!M2:M368,"M_Atef",Test_Cases!L2:L368,"Blocked")</f>
        <v>0</v>
      </c>
      <c r="I4" s="7">
        <f>COUNTIFS(Test_Cases!M2:M368,"M_Atef",Test_Cases!L2:L368,"Not_Executed")</f>
        <v>10</v>
      </c>
    </row>
    <row r="5" spans="1:9">
      <c r="A5" s="6" t="s">
        <v>28</v>
      </c>
      <c r="B5" s="7">
        <f>COUNTA(User_Stories!A2:A145)</f>
        <v>144</v>
      </c>
      <c r="D5" s="7" t="s">
        <v>29</v>
      </c>
      <c r="E5" s="7">
        <f>COUNTIF(Test_Cases!M2:M368,"Mahmoud Abdalazem")</f>
        <v>0</v>
      </c>
      <c r="F5" s="7">
        <f>COUNTIFS(Test_Cases!M2:M368,"Mahmoud Abdalazem",Test_Cases!L2:L368,"Passed")</f>
        <v>0</v>
      </c>
      <c r="G5" s="7">
        <f>COUNTIFS(Test_Cases!M2:M368,"Mahmoud Abdalazem",Test_Cases!L2:L368,"Failed")</f>
        <v>0</v>
      </c>
      <c r="H5" s="7">
        <f>COUNTIFS(Test_Cases!M2:M368,"Mahmoud Abdalazem",Test_Cases!L2:L368,"Blocked")</f>
        <v>0</v>
      </c>
      <c r="I5" s="7">
        <f>COUNTIFS(Test_Cases!M2:M368,"Mahmoud Abdalazem",Test_Cases!L2:L368,"Not_Executed")</f>
        <v>0</v>
      </c>
    </row>
    <row r="6" spans="1:9">
      <c r="A6" s="6" t="s">
        <v>30</v>
      </c>
      <c r="B6" s="7">
        <f>COUNTA(Test_Cases!A2:A368)</f>
        <v>367</v>
      </c>
      <c r="D6" s="7" t="s">
        <v>31</v>
      </c>
      <c r="E6" s="7">
        <f>COUNTIF(Test_Cases!M2:M368,"Abdelhamid Anwer")</f>
        <v>86</v>
      </c>
      <c r="F6" s="7">
        <f>COUNTIFS(Test_Cases!M2:M368,"Abdelhamid Anwer",Test_Cases!L2:L368,"Passed")</f>
        <v>75</v>
      </c>
      <c r="G6" s="7">
        <f>COUNTIFS(Test_Cases!M2:M368,"Abdelhamid Anwer",Test_Cases!L2:L368,"Failed")</f>
        <v>10</v>
      </c>
      <c r="H6" s="7">
        <f>COUNTIFS(Test_Cases!M2:M368,"Abdelhamid Anwer",Test_Cases!L2:L368,"Blocked")</f>
        <v>0</v>
      </c>
      <c r="I6" s="7">
        <f>COUNTIFS(Test_Cases!M2:M368,"Abdelhamid Anwer",Test_Cases!L2:L368,"Not_Executed")</f>
        <v>0</v>
      </c>
    </row>
    <row r="7" spans="1:9">
      <c r="A7" s="6" t="s">
        <v>22</v>
      </c>
      <c r="B7" s="7">
        <f>COUNTIF(Test_Cases!L2:L368,"Passed")</f>
        <v>295</v>
      </c>
      <c r="D7" s="7" t="s">
        <v>32</v>
      </c>
      <c r="E7" s="7">
        <f>COUNTIF(Test_Cases!M2:M368,"Hamza")</f>
        <v>47</v>
      </c>
      <c r="F7" s="7">
        <f>COUNTIFS(Test_Cases!M2:M368,"Hamza",Test_Cases!L2:L368,"Passed")</f>
        <v>30</v>
      </c>
      <c r="G7" s="7">
        <f>COUNTIFS(Test_Cases!M2:M368,"Hamza",Test_Cases!L2:L368,"Failed")</f>
        <v>16</v>
      </c>
      <c r="H7" s="7">
        <f>COUNTIFS(Test_Cases!M2:M368,"Hamza",Test_Cases!L2:L368,"Blocked")</f>
        <v>0</v>
      </c>
      <c r="I7" s="7">
        <f>COUNTIFS(Test_Cases!M2:M368,"Hamza",Test_Cases!L2:L368,"Not_Executed")</f>
        <v>1</v>
      </c>
    </row>
    <row r="8" spans="1:9">
      <c r="A8" s="6" t="s">
        <v>23</v>
      </c>
      <c r="B8" s="7">
        <f>COUNTIF(Test_Cases!L2:L368,"Failed")</f>
        <v>60</v>
      </c>
      <c r="D8" s="7" t="s">
        <v>33</v>
      </c>
      <c r="E8" s="7">
        <f>COUNTIF(Test_Cases!M2:M368,"M_Kamel")</f>
        <v>77</v>
      </c>
      <c r="F8" s="7">
        <f>COUNTIFS(Test_Cases!M2:M368,"M_Kamel",Test_Cases!L2:L368,"Passed")</f>
        <v>70</v>
      </c>
      <c r="G8" s="7">
        <f>COUNTIFS(Test_Cases!M2:M368,"M_Kamel",Test_Cases!L2:L368,"Failed")</f>
        <v>7</v>
      </c>
      <c r="H8" s="7">
        <f>COUNTIFS(Test_Cases!M2:M368,"M_Kamel",Test_Cases!L2:L368,"Blocked")</f>
        <v>0</v>
      </c>
      <c r="I8" s="7">
        <f>COUNTIFS(Test_Cases!M2:M368,"M_Kamel",Test_Cases!L2:L368,"Not_Executed")</f>
        <v>0</v>
      </c>
    </row>
    <row r="9" spans="1:9">
      <c r="A9" s="6" t="s">
        <v>24</v>
      </c>
      <c r="B9" s="7">
        <f>COUNTIF(Test_Cases!L2:L368,"Blocked")</f>
        <v>0</v>
      </c>
    </row>
    <row r="10" spans="1:9">
      <c r="A10" s="6" t="s">
        <v>25</v>
      </c>
      <c r="B10" s="7">
        <f>COUNTIF(Test_Cases!L2:L368,"Not_Executed")</f>
        <v>11</v>
      </c>
    </row>
    <row r="11" spans="1:9">
      <c r="A11" s="6" t="s">
        <v>34</v>
      </c>
      <c r="B11" s="8">
        <f>IFERROR(B5/B4,0)</f>
        <v>1</v>
      </c>
    </row>
    <row r="12" spans="1:9">
      <c r="A12" s="6" t="s">
        <v>35</v>
      </c>
      <c r="B12" s="8">
        <f>IFERROR(B6/B4,0)</f>
        <v>2.54861111111111</v>
      </c>
    </row>
    <row r="13" spans="1:9">
      <c r="A13" s="6" t="s">
        <v>36</v>
      </c>
      <c r="B13" s="7">
        <f>COUNTA(Bug_Report!A2:A55)</f>
        <v>54</v>
      </c>
    </row>
    <row r="14" spans="1:9">
      <c r="A14" s="6" t="s">
        <v>37</v>
      </c>
      <c r="B14" s="7">
        <f>COUNTIF(Bug_Report!F2:F55,"Critical")</f>
        <v>13</v>
      </c>
    </row>
    <row r="15" spans="1:9">
      <c r="A15" s="6" t="s">
        <v>38</v>
      </c>
      <c r="B15" s="7">
        <f>COUNTIF(Bug_Report!F2:F55,"High")</f>
        <v>18</v>
      </c>
    </row>
    <row r="16" spans="1:9">
      <c r="A16" s="6" t="s">
        <v>39</v>
      </c>
      <c r="B16" s="7">
        <f>COUNTIF(Bug_Report!F2:F55,"Medium")</f>
        <v>12</v>
      </c>
    </row>
    <row r="17" spans="1:2">
      <c r="A17" s="6" t="s">
        <v>40</v>
      </c>
      <c r="B17" s="7">
        <f>COUNTIF(Bug_Report!F2:F55,"Low")</f>
        <v>11</v>
      </c>
    </row>
    <row r="18" spans="1:2">
      <c r="A18" s="6" t="s">
        <v>41</v>
      </c>
      <c r="B18" s="7">
        <f>COUNTIF(Traceability!J2:J145,"Fully Covered")</f>
        <v>2</v>
      </c>
    </row>
    <row r="19" spans="1:2">
      <c r="A19" s="6" t="s">
        <v>42</v>
      </c>
      <c r="B19" s="7">
        <f>COUNTIF(Traceability!J2:J145,"Partial")</f>
        <v>5</v>
      </c>
    </row>
    <row r="20" spans="1:2">
      <c r="A20" s="6" t="s">
        <v>43</v>
      </c>
      <c r="B20" s="7">
        <f>COUNTIF(Traceability!J2:J145,"Not Covered")</f>
        <v>131</v>
      </c>
    </row>
    <row r="21" spans="1:2">
      <c r="A21" s="6" t="s">
        <v>44</v>
      </c>
      <c r="B21" s="7">
        <f>COUNTIF(Traceability!J2:J145,"Failing")</f>
        <v>6</v>
      </c>
    </row>
    <row r="22" spans="1:2">
      <c r="A22" s="6" t="s">
        <v>45</v>
      </c>
      <c r="B22" s="8">
        <f>IFERROR((B16+B19)/B2,0)</f>
        <v>0</v>
      </c>
    </row>
  </sheetData>
  <mergeCells count="1">
    <mergeCell ref="A1:D1"/>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45"/>
  <sheetViews>
    <sheetView workbookViewId="0">
      <pane ySplit="1" topLeftCell="A119" activePane="bottomLeft" state="frozen"/>
      <selection/>
      <selection pane="bottomLeft" activeCell="A1" sqref="A1"/>
    </sheetView>
  </sheetViews>
  <sheetFormatPr defaultColWidth="9" defaultRowHeight="14.4" outlineLevelCol="5"/>
  <cols>
    <col min="1" max="1" width="16" customWidth="1"/>
    <col min="2" max="2" width="80" customWidth="1"/>
    <col min="3" max="3" width="20" customWidth="1"/>
    <col min="4" max="4" width="10" customWidth="1"/>
    <col min="5" max="5" width="12" customWidth="1"/>
    <col min="6" max="6" width="10" customWidth="1"/>
  </cols>
  <sheetData>
    <row r="1" ht="30" customHeight="1" spans="1:6">
      <c r="A1" s="1" t="s">
        <v>46</v>
      </c>
      <c r="B1" s="1" t="s">
        <v>47</v>
      </c>
      <c r="C1" s="1" t="s">
        <v>48</v>
      </c>
      <c r="D1" s="1" t="s">
        <v>49</v>
      </c>
      <c r="E1" s="1" t="s">
        <v>50</v>
      </c>
      <c r="F1" s="1" t="s">
        <v>51</v>
      </c>
    </row>
    <row r="2" ht="43.2" spans="1:6">
      <c r="A2" s="2" t="s">
        <v>52</v>
      </c>
      <c r="B2" s="2" t="s">
        <v>53</v>
      </c>
      <c r="C2" s="2" t="s">
        <v>54</v>
      </c>
      <c r="D2" s="2" t="s">
        <v>55</v>
      </c>
      <c r="E2" s="2" t="s">
        <v>56</v>
      </c>
      <c r="F2" s="2" t="s">
        <v>13</v>
      </c>
    </row>
    <row r="3" ht="28.8" spans="1:6">
      <c r="A3" s="2" t="s">
        <v>57</v>
      </c>
      <c r="B3" s="2" t="s">
        <v>58</v>
      </c>
      <c r="C3" s="2" t="s">
        <v>54</v>
      </c>
      <c r="D3" s="2" t="s">
        <v>55</v>
      </c>
      <c r="E3" s="2" t="s">
        <v>56</v>
      </c>
      <c r="F3" s="2" t="s">
        <v>13</v>
      </c>
    </row>
    <row r="4" spans="1:6">
      <c r="A4" s="2" t="s">
        <v>59</v>
      </c>
      <c r="B4" s="2" t="s">
        <v>60</v>
      </c>
      <c r="C4" s="2" t="s">
        <v>54</v>
      </c>
      <c r="D4" s="2" t="s">
        <v>55</v>
      </c>
      <c r="E4" s="2" t="s">
        <v>56</v>
      </c>
      <c r="F4" s="2" t="s">
        <v>13</v>
      </c>
    </row>
    <row r="5" ht="28.8" spans="1:6">
      <c r="A5" s="2" t="s">
        <v>61</v>
      </c>
      <c r="B5" s="2" t="s">
        <v>62</v>
      </c>
      <c r="C5" s="2" t="s">
        <v>54</v>
      </c>
      <c r="D5" s="2" t="s">
        <v>55</v>
      </c>
      <c r="E5" s="2" t="s">
        <v>56</v>
      </c>
      <c r="F5" s="2" t="s">
        <v>13</v>
      </c>
    </row>
    <row r="6" ht="28.8" spans="1:6">
      <c r="A6" s="2" t="s">
        <v>63</v>
      </c>
      <c r="B6" s="2" t="s">
        <v>64</v>
      </c>
      <c r="C6" s="2" t="s">
        <v>54</v>
      </c>
      <c r="D6" s="2" t="s">
        <v>55</v>
      </c>
      <c r="E6" s="2" t="s">
        <v>56</v>
      </c>
      <c r="F6" s="2" t="s">
        <v>13</v>
      </c>
    </row>
    <row r="7" ht="28.8" spans="1:6">
      <c r="A7" s="2" t="s">
        <v>65</v>
      </c>
      <c r="B7" s="2" t="s">
        <v>66</v>
      </c>
      <c r="C7" s="2" t="s">
        <v>54</v>
      </c>
      <c r="D7" s="2" t="s">
        <v>55</v>
      </c>
      <c r="E7" s="2" t="s">
        <v>56</v>
      </c>
      <c r="F7" s="2" t="s">
        <v>13</v>
      </c>
    </row>
    <row r="8" ht="28.8" spans="1:6">
      <c r="A8" s="2" t="s">
        <v>67</v>
      </c>
      <c r="B8" s="2" t="s">
        <v>68</v>
      </c>
      <c r="C8" s="2" t="s">
        <v>54</v>
      </c>
      <c r="D8" s="2" t="s">
        <v>55</v>
      </c>
      <c r="E8" s="2" t="s">
        <v>56</v>
      </c>
      <c r="F8" s="2" t="s">
        <v>13</v>
      </c>
    </row>
    <row r="9" ht="28.8" spans="1:6">
      <c r="A9" s="2" t="s">
        <v>69</v>
      </c>
      <c r="B9" s="2" t="s">
        <v>70</v>
      </c>
      <c r="C9" s="2" t="s">
        <v>54</v>
      </c>
      <c r="D9" s="2" t="s">
        <v>55</v>
      </c>
      <c r="E9" s="2" t="s">
        <v>56</v>
      </c>
      <c r="F9" s="2" t="s">
        <v>13</v>
      </c>
    </row>
    <row r="10" ht="28.8" spans="1:6">
      <c r="A10" s="2" t="s">
        <v>71</v>
      </c>
      <c r="B10" s="2" t="s">
        <v>72</v>
      </c>
      <c r="C10" s="2" t="s">
        <v>54</v>
      </c>
      <c r="D10" s="2" t="s">
        <v>55</v>
      </c>
      <c r="E10" s="2" t="s">
        <v>56</v>
      </c>
      <c r="F10" s="2" t="s">
        <v>13</v>
      </c>
    </row>
    <row r="11" ht="28.8" spans="1:6">
      <c r="A11" s="2" t="s">
        <v>73</v>
      </c>
      <c r="B11" s="2" t="s">
        <v>74</v>
      </c>
      <c r="C11" s="2" t="s">
        <v>54</v>
      </c>
      <c r="D11" s="2" t="s">
        <v>55</v>
      </c>
      <c r="E11" s="2" t="s">
        <v>56</v>
      </c>
      <c r="F11" s="2" t="s">
        <v>13</v>
      </c>
    </row>
    <row r="12" ht="43.2" spans="1:6">
      <c r="A12" s="2" t="s">
        <v>75</v>
      </c>
      <c r="B12" s="2" t="s">
        <v>76</v>
      </c>
      <c r="C12" s="2" t="s">
        <v>77</v>
      </c>
      <c r="D12" s="2" t="s">
        <v>55</v>
      </c>
      <c r="E12" s="2" t="s">
        <v>56</v>
      </c>
      <c r="F12" s="2" t="s">
        <v>13</v>
      </c>
    </row>
    <row r="13" ht="57.6" spans="1:6">
      <c r="A13" s="2" t="s">
        <v>78</v>
      </c>
      <c r="B13" s="2" t="s">
        <v>79</v>
      </c>
      <c r="C13" s="2" t="s">
        <v>80</v>
      </c>
      <c r="D13" s="2" t="s">
        <v>55</v>
      </c>
      <c r="E13" s="2" t="s">
        <v>56</v>
      </c>
      <c r="F13" s="2" t="s">
        <v>13</v>
      </c>
    </row>
    <row r="14" ht="28.8" spans="1:6">
      <c r="A14" s="2" t="s">
        <v>81</v>
      </c>
      <c r="B14" s="2" t="s">
        <v>82</v>
      </c>
      <c r="C14" s="2" t="s">
        <v>80</v>
      </c>
      <c r="D14" s="2" t="s">
        <v>55</v>
      </c>
      <c r="E14" s="2" t="s">
        <v>56</v>
      </c>
      <c r="F14" s="2" t="s">
        <v>13</v>
      </c>
    </row>
    <row r="15" spans="1:6">
      <c r="A15" s="2" t="s">
        <v>83</v>
      </c>
      <c r="B15" s="2" t="s">
        <v>84</v>
      </c>
      <c r="C15" s="2" t="s">
        <v>80</v>
      </c>
      <c r="D15" s="2" t="s">
        <v>55</v>
      </c>
      <c r="E15" s="2" t="s">
        <v>56</v>
      </c>
      <c r="F15" s="2" t="s">
        <v>13</v>
      </c>
    </row>
    <row r="16" ht="28.8" spans="1:6">
      <c r="A16" s="2" t="s">
        <v>85</v>
      </c>
      <c r="B16" s="2" t="s">
        <v>86</v>
      </c>
      <c r="C16" s="2" t="s">
        <v>80</v>
      </c>
      <c r="D16" s="2" t="s">
        <v>55</v>
      </c>
      <c r="E16" s="2" t="s">
        <v>56</v>
      </c>
      <c r="F16" s="2" t="s">
        <v>13</v>
      </c>
    </row>
    <row r="17" ht="28.8" spans="1:6">
      <c r="A17" s="2" t="s">
        <v>87</v>
      </c>
      <c r="B17" s="2" t="s">
        <v>88</v>
      </c>
      <c r="C17" s="2" t="s">
        <v>80</v>
      </c>
      <c r="D17" s="2" t="s">
        <v>55</v>
      </c>
      <c r="E17" s="2" t="s">
        <v>56</v>
      </c>
      <c r="F17" s="2" t="s">
        <v>13</v>
      </c>
    </row>
    <row r="18" ht="28.8" spans="1:6">
      <c r="A18" s="2" t="s">
        <v>89</v>
      </c>
      <c r="B18" s="2" t="s">
        <v>90</v>
      </c>
      <c r="C18" s="2" t="s">
        <v>91</v>
      </c>
      <c r="D18" s="2" t="s">
        <v>55</v>
      </c>
      <c r="E18" s="2" t="s">
        <v>56</v>
      </c>
      <c r="F18" s="2" t="s">
        <v>13</v>
      </c>
    </row>
    <row r="19" ht="28.8" spans="1:6">
      <c r="A19" s="2" t="s">
        <v>92</v>
      </c>
      <c r="B19" s="2" t="s">
        <v>93</v>
      </c>
      <c r="C19" s="2" t="s">
        <v>91</v>
      </c>
      <c r="D19" s="2" t="s">
        <v>55</v>
      </c>
      <c r="E19" s="2" t="s">
        <v>56</v>
      </c>
      <c r="F19" s="2" t="s">
        <v>13</v>
      </c>
    </row>
    <row r="20" ht="28.8" spans="1:6">
      <c r="A20" s="2" t="s">
        <v>94</v>
      </c>
      <c r="B20" s="2" t="s">
        <v>95</v>
      </c>
      <c r="C20" s="2" t="s">
        <v>80</v>
      </c>
      <c r="D20" s="2" t="s">
        <v>55</v>
      </c>
      <c r="E20" s="2" t="s">
        <v>56</v>
      </c>
      <c r="F20" s="2" t="s">
        <v>13</v>
      </c>
    </row>
    <row r="21" ht="28.8" spans="1:6">
      <c r="A21" s="2" t="s">
        <v>96</v>
      </c>
      <c r="B21" s="2" t="s">
        <v>97</v>
      </c>
      <c r="C21" s="2" t="s">
        <v>80</v>
      </c>
      <c r="D21" s="2" t="s">
        <v>55</v>
      </c>
      <c r="E21" s="2" t="s">
        <v>56</v>
      </c>
      <c r="F21" s="2" t="s">
        <v>13</v>
      </c>
    </row>
    <row r="22" ht="28.8" spans="1:6">
      <c r="A22" s="2" t="s">
        <v>98</v>
      </c>
      <c r="B22" s="2" t="s">
        <v>99</v>
      </c>
      <c r="C22" s="2" t="s">
        <v>100</v>
      </c>
      <c r="D22" s="2" t="s">
        <v>55</v>
      </c>
      <c r="E22" s="2" t="s">
        <v>56</v>
      </c>
      <c r="F22" s="2" t="s">
        <v>13</v>
      </c>
    </row>
    <row r="23" ht="28.8" spans="1:6">
      <c r="A23" s="2" t="s">
        <v>101</v>
      </c>
      <c r="B23" s="2" t="s">
        <v>102</v>
      </c>
      <c r="C23" s="2" t="s">
        <v>100</v>
      </c>
      <c r="D23" s="2" t="s">
        <v>55</v>
      </c>
      <c r="E23" s="2" t="s">
        <v>56</v>
      </c>
      <c r="F23" s="2" t="s">
        <v>13</v>
      </c>
    </row>
    <row r="24" ht="28.8" spans="1:6">
      <c r="A24" s="2" t="s">
        <v>103</v>
      </c>
      <c r="B24" s="2" t="s">
        <v>104</v>
      </c>
      <c r="C24" s="2" t="s">
        <v>80</v>
      </c>
      <c r="D24" s="2" t="s">
        <v>55</v>
      </c>
      <c r="E24" s="2" t="s">
        <v>56</v>
      </c>
      <c r="F24" s="2" t="s">
        <v>13</v>
      </c>
    </row>
    <row r="25" ht="28.8" spans="1:6">
      <c r="A25" s="2" t="s">
        <v>105</v>
      </c>
      <c r="B25" s="2" t="s">
        <v>106</v>
      </c>
      <c r="C25" s="2" t="s">
        <v>107</v>
      </c>
      <c r="D25" s="2" t="s">
        <v>55</v>
      </c>
      <c r="E25" s="2" t="s">
        <v>56</v>
      </c>
      <c r="F25" s="2" t="s">
        <v>13</v>
      </c>
    </row>
    <row r="26" ht="28.8" spans="1:6">
      <c r="A26" s="2" t="s">
        <v>108</v>
      </c>
      <c r="B26" s="2" t="s">
        <v>109</v>
      </c>
      <c r="C26" s="2" t="s">
        <v>100</v>
      </c>
      <c r="D26" s="2" t="s">
        <v>55</v>
      </c>
      <c r="E26" s="2" t="s">
        <v>56</v>
      </c>
      <c r="F26" s="2" t="s">
        <v>13</v>
      </c>
    </row>
    <row r="27" ht="28.8" spans="1:6">
      <c r="A27" s="2" t="s">
        <v>110</v>
      </c>
      <c r="B27" s="2" t="s">
        <v>111</v>
      </c>
      <c r="C27" s="2" t="s">
        <v>112</v>
      </c>
      <c r="D27" s="2" t="s">
        <v>113</v>
      </c>
      <c r="E27" s="2" t="s">
        <v>56</v>
      </c>
      <c r="F27" s="2" t="s">
        <v>13</v>
      </c>
    </row>
    <row r="28" ht="28.8" spans="1:6">
      <c r="A28" s="2" t="s">
        <v>114</v>
      </c>
      <c r="B28" s="2" t="s">
        <v>115</v>
      </c>
      <c r="C28" s="2" t="s">
        <v>116</v>
      </c>
      <c r="D28" s="2" t="s">
        <v>55</v>
      </c>
      <c r="E28" s="2" t="s">
        <v>56</v>
      </c>
      <c r="F28" s="2" t="s">
        <v>13</v>
      </c>
    </row>
    <row r="29" ht="28.8" spans="1:6">
      <c r="A29" s="2" t="s">
        <v>117</v>
      </c>
      <c r="B29" s="2" t="s">
        <v>118</v>
      </c>
      <c r="C29" s="2" t="s">
        <v>116</v>
      </c>
      <c r="D29" s="2" t="s">
        <v>55</v>
      </c>
      <c r="E29" s="2" t="s">
        <v>56</v>
      </c>
      <c r="F29" s="2" t="s">
        <v>13</v>
      </c>
    </row>
    <row r="30" ht="57.6" spans="1:6">
      <c r="A30" s="2" t="s">
        <v>119</v>
      </c>
      <c r="B30" s="2" t="s">
        <v>120</v>
      </c>
      <c r="C30" s="2" t="s">
        <v>116</v>
      </c>
      <c r="D30" s="2" t="s">
        <v>113</v>
      </c>
      <c r="E30" s="2" t="s">
        <v>56</v>
      </c>
      <c r="F30" s="2" t="s">
        <v>13</v>
      </c>
    </row>
    <row r="31" ht="28.8" spans="1:6">
      <c r="A31" s="2" t="s">
        <v>121</v>
      </c>
      <c r="B31" s="2" t="s">
        <v>122</v>
      </c>
      <c r="C31" s="2" t="s">
        <v>116</v>
      </c>
      <c r="D31" s="2" t="s">
        <v>113</v>
      </c>
      <c r="E31" s="2" t="s">
        <v>56</v>
      </c>
      <c r="F31" s="2" t="s">
        <v>13</v>
      </c>
    </row>
    <row r="32" ht="28.8" spans="1:6">
      <c r="A32" s="2" t="s">
        <v>123</v>
      </c>
      <c r="B32" s="2" t="s">
        <v>124</v>
      </c>
      <c r="C32" s="2" t="s">
        <v>116</v>
      </c>
      <c r="D32" s="2" t="s">
        <v>55</v>
      </c>
      <c r="E32" s="2" t="s">
        <v>56</v>
      </c>
      <c r="F32" s="2" t="s">
        <v>13</v>
      </c>
    </row>
    <row r="33" ht="28.8" spans="1:6">
      <c r="A33" s="2" t="s">
        <v>125</v>
      </c>
      <c r="B33" s="2" t="s">
        <v>126</v>
      </c>
      <c r="C33" s="2" t="s">
        <v>107</v>
      </c>
      <c r="D33" s="2" t="s">
        <v>55</v>
      </c>
      <c r="E33" s="2" t="s">
        <v>56</v>
      </c>
      <c r="F33" s="2" t="s">
        <v>13</v>
      </c>
    </row>
    <row r="34" ht="28.8" spans="1:6">
      <c r="A34" s="2" t="s">
        <v>127</v>
      </c>
      <c r="B34" s="2" t="s">
        <v>128</v>
      </c>
      <c r="C34" s="2" t="s">
        <v>107</v>
      </c>
      <c r="D34" s="2" t="s">
        <v>55</v>
      </c>
      <c r="E34" s="2" t="s">
        <v>56</v>
      </c>
      <c r="F34" s="2" t="s">
        <v>13</v>
      </c>
    </row>
    <row r="35" ht="43.2" spans="1:6">
      <c r="A35" s="2" t="s">
        <v>129</v>
      </c>
      <c r="B35" s="2" t="s">
        <v>130</v>
      </c>
      <c r="C35" s="2" t="s">
        <v>107</v>
      </c>
      <c r="D35" s="2" t="s">
        <v>55</v>
      </c>
      <c r="E35" s="2" t="s">
        <v>56</v>
      </c>
      <c r="F35" s="2" t="s">
        <v>13</v>
      </c>
    </row>
    <row r="36" ht="28.8" spans="1:6">
      <c r="A36" s="2" t="s">
        <v>131</v>
      </c>
      <c r="B36" s="2" t="s">
        <v>132</v>
      </c>
      <c r="C36" s="2" t="s">
        <v>107</v>
      </c>
      <c r="D36" s="2" t="s">
        <v>55</v>
      </c>
      <c r="E36" s="2" t="s">
        <v>56</v>
      </c>
      <c r="F36" s="2" t="s">
        <v>13</v>
      </c>
    </row>
    <row r="37" ht="28.8" spans="1:6">
      <c r="A37" s="2" t="s">
        <v>133</v>
      </c>
      <c r="B37" s="2" t="s">
        <v>134</v>
      </c>
      <c r="C37" s="2" t="s">
        <v>107</v>
      </c>
      <c r="D37" s="2" t="s">
        <v>55</v>
      </c>
      <c r="E37" s="2" t="s">
        <v>56</v>
      </c>
      <c r="F37" s="2" t="s">
        <v>13</v>
      </c>
    </row>
    <row r="38" ht="28.8" spans="1:6">
      <c r="A38" s="2" t="s">
        <v>135</v>
      </c>
      <c r="B38" s="2" t="s">
        <v>136</v>
      </c>
      <c r="C38" s="2" t="s">
        <v>107</v>
      </c>
      <c r="D38" s="2" t="s">
        <v>55</v>
      </c>
      <c r="E38" s="2" t="s">
        <v>56</v>
      </c>
      <c r="F38" s="2" t="s">
        <v>13</v>
      </c>
    </row>
    <row r="39" ht="28.8" spans="1:6">
      <c r="A39" s="2" t="s">
        <v>137</v>
      </c>
      <c r="B39" s="2" t="s">
        <v>138</v>
      </c>
      <c r="C39" s="2" t="s">
        <v>107</v>
      </c>
      <c r="D39" s="2" t="s">
        <v>55</v>
      </c>
      <c r="E39" s="2" t="s">
        <v>56</v>
      </c>
      <c r="F39" s="2" t="s">
        <v>13</v>
      </c>
    </row>
    <row r="40" ht="28.8" spans="1:6">
      <c r="A40" s="2" t="s">
        <v>139</v>
      </c>
      <c r="B40" s="2" t="s">
        <v>140</v>
      </c>
      <c r="C40" s="2" t="s">
        <v>107</v>
      </c>
      <c r="D40" s="2" t="s">
        <v>55</v>
      </c>
      <c r="E40" s="2" t="s">
        <v>56</v>
      </c>
      <c r="F40" s="2" t="s">
        <v>13</v>
      </c>
    </row>
    <row r="41" ht="28.8" spans="1:6">
      <c r="A41" s="2" t="s">
        <v>141</v>
      </c>
      <c r="B41" s="2" t="s">
        <v>142</v>
      </c>
      <c r="C41" s="2" t="s">
        <v>107</v>
      </c>
      <c r="D41" s="2" t="s">
        <v>55</v>
      </c>
      <c r="E41" s="2" t="s">
        <v>56</v>
      </c>
      <c r="F41" s="2" t="s">
        <v>13</v>
      </c>
    </row>
    <row r="42" ht="28.8" spans="1:6">
      <c r="A42" s="2" t="s">
        <v>143</v>
      </c>
      <c r="B42" s="2" t="s">
        <v>144</v>
      </c>
      <c r="C42" s="2" t="s">
        <v>107</v>
      </c>
      <c r="D42" s="2" t="s">
        <v>55</v>
      </c>
      <c r="E42" s="2" t="s">
        <v>56</v>
      </c>
      <c r="F42" s="2" t="s">
        <v>13</v>
      </c>
    </row>
    <row r="43" ht="28.8" spans="1:6">
      <c r="A43" s="2" t="s">
        <v>145</v>
      </c>
      <c r="B43" s="2" t="s">
        <v>146</v>
      </c>
      <c r="C43" s="2" t="s">
        <v>107</v>
      </c>
      <c r="D43" s="2" t="s">
        <v>55</v>
      </c>
      <c r="E43" s="2" t="s">
        <v>56</v>
      </c>
      <c r="F43" s="2" t="s">
        <v>13</v>
      </c>
    </row>
    <row r="44" ht="28.8" spans="1:6">
      <c r="A44" s="2" t="s">
        <v>147</v>
      </c>
      <c r="B44" s="2" t="s">
        <v>148</v>
      </c>
      <c r="C44" s="2" t="s">
        <v>107</v>
      </c>
      <c r="D44" s="2" t="s">
        <v>55</v>
      </c>
      <c r="E44" s="2" t="s">
        <v>56</v>
      </c>
      <c r="F44" s="2" t="s">
        <v>13</v>
      </c>
    </row>
    <row r="45" spans="1:6">
      <c r="A45" s="2" t="s">
        <v>149</v>
      </c>
      <c r="B45" s="2" t="s">
        <v>150</v>
      </c>
      <c r="C45" s="2" t="s">
        <v>107</v>
      </c>
      <c r="D45" s="2" t="s">
        <v>113</v>
      </c>
      <c r="E45" s="2" t="s">
        <v>56</v>
      </c>
      <c r="F45" s="2" t="s">
        <v>13</v>
      </c>
    </row>
    <row r="46" spans="1:6">
      <c r="A46" s="2" t="s">
        <v>151</v>
      </c>
      <c r="B46" s="2" t="s">
        <v>152</v>
      </c>
      <c r="C46" s="2" t="s">
        <v>107</v>
      </c>
      <c r="D46" s="2" t="s">
        <v>113</v>
      </c>
      <c r="E46" s="2" t="s">
        <v>56</v>
      </c>
      <c r="F46" s="2" t="s">
        <v>13</v>
      </c>
    </row>
    <row r="47" ht="43.2" spans="1:6">
      <c r="A47" s="2" t="s">
        <v>153</v>
      </c>
      <c r="B47" s="2" t="s">
        <v>154</v>
      </c>
      <c r="C47" s="2" t="s">
        <v>155</v>
      </c>
      <c r="D47" s="2" t="s">
        <v>55</v>
      </c>
      <c r="E47" s="2" t="s">
        <v>56</v>
      </c>
      <c r="F47" s="2" t="s">
        <v>13</v>
      </c>
    </row>
    <row r="48" ht="43.2" spans="1:6">
      <c r="A48" s="2" t="s">
        <v>156</v>
      </c>
      <c r="B48" s="2" t="s">
        <v>157</v>
      </c>
      <c r="C48" s="2" t="s">
        <v>155</v>
      </c>
      <c r="D48" s="2" t="s">
        <v>55</v>
      </c>
      <c r="E48" s="2" t="s">
        <v>56</v>
      </c>
      <c r="F48" s="2" t="s">
        <v>13</v>
      </c>
    </row>
    <row r="49" ht="28.8" spans="1:6">
      <c r="A49" s="2" t="s">
        <v>158</v>
      </c>
      <c r="B49" s="2" t="s">
        <v>159</v>
      </c>
      <c r="C49" s="2" t="s">
        <v>155</v>
      </c>
      <c r="D49" s="2" t="s">
        <v>55</v>
      </c>
      <c r="E49" s="2" t="s">
        <v>56</v>
      </c>
      <c r="F49" s="2" t="s">
        <v>13</v>
      </c>
    </row>
    <row r="50" ht="28.8" spans="1:6">
      <c r="A50" s="2" t="s">
        <v>160</v>
      </c>
      <c r="B50" s="2" t="s">
        <v>161</v>
      </c>
      <c r="C50" s="2" t="s">
        <v>155</v>
      </c>
      <c r="D50" s="2" t="s">
        <v>55</v>
      </c>
      <c r="E50" s="2" t="s">
        <v>56</v>
      </c>
      <c r="F50" s="2" t="s">
        <v>13</v>
      </c>
    </row>
    <row r="51" spans="1:6">
      <c r="A51" s="2" t="s">
        <v>162</v>
      </c>
      <c r="B51" s="2" t="s">
        <v>163</v>
      </c>
      <c r="C51" s="2" t="s">
        <v>155</v>
      </c>
      <c r="D51" s="2" t="s">
        <v>55</v>
      </c>
      <c r="E51" s="2" t="s">
        <v>56</v>
      </c>
      <c r="F51" s="2" t="s">
        <v>13</v>
      </c>
    </row>
    <row r="52" ht="28.8" spans="1:6">
      <c r="A52" s="2" t="s">
        <v>164</v>
      </c>
      <c r="B52" s="2" t="s">
        <v>165</v>
      </c>
      <c r="C52" s="2" t="s">
        <v>155</v>
      </c>
      <c r="D52" s="2" t="s">
        <v>55</v>
      </c>
      <c r="E52" s="2" t="s">
        <v>56</v>
      </c>
      <c r="F52" s="2" t="s">
        <v>13</v>
      </c>
    </row>
    <row r="53" ht="28.8" spans="1:6">
      <c r="A53" s="2" t="s">
        <v>166</v>
      </c>
      <c r="B53" s="2" t="s">
        <v>167</v>
      </c>
      <c r="C53" s="2" t="s">
        <v>155</v>
      </c>
      <c r="D53" s="2" t="s">
        <v>55</v>
      </c>
      <c r="E53" s="2" t="s">
        <v>56</v>
      </c>
      <c r="F53" s="2" t="s">
        <v>13</v>
      </c>
    </row>
    <row r="54" ht="28.8" spans="1:6">
      <c r="A54" s="2" t="s">
        <v>168</v>
      </c>
      <c r="B54" s="2" t="s">
        <v>169</v>
      </c>
      <c r="C54" s="2" t="s">
        <v>155</v>
      </c>
      <c r="D54" s="2" t="s">
        <v>55</v>
      </c>
      <c r="E54" s="2" t="s">
        <v>56</v>
      </c>
      <c r="F54" s="2" t="s">
        <v>13</v>
      </c>
    </row>
    <row r="55" ht="28.8" spans="1:6">
      <c r="A55" s="2" t="s">
        <v>170</v>
      </c>
      <c r="B55" s="2" t="s">
        <v>171</v>
      </c>
      <c r="C55" s="2" t="s">
        <v>155</v>
      </c>
      <c r="D55" s="2" t="s">
        <v>55</v>
      </c>
      <c r="E55" s="2" t="s">
        <v>56</v>
      </c>
      <c r="F55" s="2" t="s">
        <v>13</v>
      </c>
    </row>
    <row r="56" ht="28.8" spans="1:6">
      <c r="A56" s="2" t="s">
        <v>172</v>
      </c>
      <c r="B56" s="2" t="s">
        <v>173</v>
      </c>
      <c r="C56" s="2" t="s">
        <v>155</v>
      </c>
      <c r="D56" s="2" t="s">
        <v>55</v>
      </c>
      <c r="E56" s="2" t="s">
        <v>56</v>
      </c>
      <c r="F56" s="2" t="s">
        <v>13</v>
      </c>
    </row>
    <row r="57" ht="28.8" spans="1:6">
      <c r="A57" s="2" t="s">
        <v>174</v>
      </c>
      <c r="B57" s="2" t="s">
        <v>175</v>
      </c>
      <c r="C57" s="2" t="s">
        <v>80</v>
      </c>
      <c r="D57" s="2" t="s">
        <v>55</v>
      </c>
      <c r="E57" s="2" t="s">
        <v>56</v>
      </c>
      <c r="F57" s="2" t="s">
        <v>13</v>
      </c>
    </row>
    <row r="58" ht="28.8" spans="1:6">
      <c r="A58" s="2" t="s">
        <v>176</v>
      </c>
      <c r="B58" s="2" t="s">
        <v>177</v>
      </c>
      <c r="C58" s="2" t="s">
        <v>178</v>
      </c>
      <c r="D58" s="2" t="s">
        <v>55</v>
      </c>
      <c r="E58" s="2" t="s">
        <v>56</v>
      </c>
      <c r="F58" s="2" t="s">
        <v>13</v>
      </c>
    </row>
    <row r="59" ht="28.8" spans="1:6">
      <c r="A59" s="2" t="s">
        <v>179</v>
      </c>
      <c r="B59" s="2" t="s">
        <v>180</v>
      </c>
      <c r="C59" s="2" t="s">
        <v>178</v>
      </c>
      <c r="D59" s="2" t="s">
        <v>55</v>
      </c>
      <c r="E59" s="2" t="s">
        <v>56</v>
      </c>
      <c r="F59" s="2" t="s">
        <v>13</v>
      </c>
    </row>
    <row r="60" ht="43.2" spans="1:6">
      <c r="A60" s="2" t="s">
        <v>181</v>
      </c>
      <c r="B60" s="2" t="s">
        <v>182</v>
      </c>
      <c r="C60" s="2" t="s">
        <v>178</v>
      </c>
      <c r="D60" s="2" t="s">
        <v>55</v>
      </c>
      <c r="E60" s="2" t="s">
        <v>56</v>
      </c>
      <c r="F60" s="2" t="s">
        <v>13</v>
      </c>
    </row>
    <row r="61" ht="28.8" spans="1:6">
      <c r="A61" s="2" t="s">
        <v>183</v>
      </c>
      <c r="B61" s="2" t="s">
        <v>184</v>
      </c>
      <c r="C61" s="2" t="s">
        <v>178</v>
      </c>
      <c r="D61" s="2" t="s">
        <v>55</v>
      </c>
      <c r="E61" s="2" t="s">
        <v>56</v>
      </c>
      <c r="F61" s="2" t="s">
        <v>13</v>
      </c>
    </row>
    <row r="62" spans="1:6">
      <c r="A62" s="2" t="s">
        <v>185</v>
      </c>
      <c r="B62" s="2" t="s">
        <v>186</v>
      </c>
      <c r="C62" s="2" t="s">
        <v>178</v>
      </c>
      <c r="D62" s="2" t="s">
        <v>55</v>
      </c>
      <c r="E62" s="2" t="s">
        <v>56</v>
      </c>
      <c r="F62" s="2" t="s">
        <v>13</v>
      </c>
    </row>
    <row r="63" ht="28.8" spans="1:6">
      <c r="A63" s="2" t="s">
        <v>187</v>
      </c>
      <c r="B63" s="2" t="s">
        <v>188</v>
      </c>
      <c r="C63" s="2" t="s">
        <v>178</v>
      </c>
      <c r="D63" s="2" t="s">
        <v>55</v>
      </c>
      <c r="E63" s="2" t="s">
        <v>56</v>
      </c>
      <c r="F63" s="2" t="s">
        <v>13</v>
      </c>
    </row>
    <row r="64" spans="1:6">
      <c r="A64" s="2" t="s">
        <v>189</v>
      </c>
      <c r="B64" s="2" t="s">
        <v>190</v>
      </c>
      <c r="C64" s="2" t="s">
        <v>178</v>
      </c>
      <c r="D64" s="2" t="s">
        <v>55</v>
      </c>
      <c r="E64" s="2" t="s">
        <v>56</v>
      </c>
      <c r="F64" s="2" t="s">
        <v>13</v>
      </c>
    </row>
    <row r="65" ht="28.8" spans="1:6">
      <c r="A65" s="2" t="s">
        <v>191</v>
      </c>
      <c r="B65" s="2" t="s">
        <v>192</v>
      </c>
      <c r="C65" s="2" t="s">
        <v>178</v>
      </c>
      <c r="D65" s="2" t="s">
        <v>55</v>
      </c>
      <c r="E65" s="2" t="s">
        <v>56</v>
      </c>
      <c r="F65" s="2" t="s">
        <v>13</v>
      </c>
    </row>
    <row r="66" spans="1:6">
      <c r="A66" s="2" t="s">
        <v>193</v>
      </c>
      <c r="B66" s="2" t="s">
        <v>194</v>
      </c>
      <c r="C66" s="2" t="s">
        <v>178</v>
      </c>
      <c r="D66" s="2" t="s">
        <v>55</v>
      </c>
      <c r="E66" s="2" t="s">
        <v>56</v>
      </c>
      <c r="F66" s="2" t="s">
        <v>13</v>
      </c>
    </row>
    <row r="67" ht="28.8" spans="1:6">
      <c r="A67" s="2" t="s">
        <v>195</v>
      </c>
      <c r="B67" s="2" t="s">
        <v>196</v>
      </c>
      <c r="C67" s="2" t="s">
        <v>178</v>
      </c>
      <c r="D67" s="2" t="s">
        <v>55</v>
      </c>
      <c r="E67" s="2" t="s">
        <v>56</v>
      </c>
      <c r="F67" s="2" t="s">
        <v>13</v>
      </c>
    </row>
    <row r="68" ht="28.8" spans="1:6">
      <c r="A68" s="2" t="s">
        <v>197</v>
      </c>
      <c r="B68" s="2" t="s">
        <v>198</v>
      </c>
      <c r="C68" s="2" t="s">
        <v>178</v>
      </c>
      <c r="D68" s="2" t="s">
        <v>113</v>
      </c>
      <c r="E68" s="2" t="s">
        <v>56</v>
      </c>
      <c r="F68" s="2" t="s">
        <v>13</v>
      </c>
    </row>
    <row r="69" ht="28.8" spans="1:6">
      <c r="A69" s="2" t="s">
        <v>199</v>
      </c>
      <c r="B69" s="2" t="s">
        <v>200</v>
      </c>
      <c r="C69" s="2" t="s">
        <v>178</v>
      </c>
      <c r="D69" s="2" t="s">
        <v>201</v>
      </c>
      <c r="E69" s="2" t="s">
        <v>56</v>
      </c>
      <c r="F69" s="2" t="s">
        <v>13</v>
      </c>
    </row>
    <row r="70" ht="28.8" spans="1:6">
      <c r="A70" s="2" t="s">
        <v>202</v>
      </c>
      <c r="B70" s="2" t="s">
        <v>203</v>
      </c>
      <c r="C70" s="2" t="s">
        <v>178</v>
      </c>
      <c r="D70" s="2" t="s">
        <v>55</v>
      </c>
      <c r="E70" s="2" t="s">
        <v>56</v>
      </c>
      <c r="F70" s="2" t="s">
        <v>13</v>
      </c>
    </row>
    <row r="71" ht="43.2" spans="1:6">
      <c r="A71" s="2" t="s">
        <v>204</v>
      </c>
      <c r="B71" s="2" t="s">
        <v>205</v>
      </c>
      <c r="C71" s="2" t="s">
        <v>178</v>
      </c>
      <c r="D71" s="2" t="s">
        <v>55</v>
      </c>
      <c r="E71" s="2" t="s">
        <v>56</v>
      </c>
      <c r="F71" s="2" t="s">
        <v>13</v>
      </c>
    </row>
    <row r="72" ht="43.2" spans="1:6">
      <c r="A72" s="2" t="s">
        <v>206</v>
      </c>
      <c r="B72" s="2" t="s">
        <v>207</v>
      </c>
      <c r="C72" s="2" t="s">
        <v>178</v>
      </c>
      <c r="D72" s="2" t="s">
        <v>55</v>
      </c>
      <c r="E72" s="2" t="s">
        <v>56</v>
      </c>
      <c r="F72" s="2" t="s">
        <v>13</v>
      </c>
    </row>
    <row r="73" spans="1:6">
      <c r="A73" s="2" t="s">
        <v>208</v>
      </c>
      <c r="B73" s="2" t="s">
        <v>209</v>
      </c>
      <c r="C73" s="2" t="s">
        <v>178</v>
      </c>
      <c r="D73" s="2" t="s">
        <v>55</v>
      </c>
      <c r="E73" s="2" t="s">
        <v>56</v>
      </c>
      <c r="F73" s="2" t="s">
        <v>13</v>
      </c>
    </row>
    <row r="74" ht="28.8" spans="1:6">
      <c r="A74" s="2" t="s">
        <v>210</v>
      </c>
      <c r="B74" s="2" t="s">
        <v>211</v>
      </c>
      <c r="C74" s="2" t="s">
        <v>178</v>
      </c>
      <c r="D74" s="2" t="s">
        <v>55</v>
      </c>
      <c r="E74" s="2" t="s">
        <v>56</v>
      </c>
      <c r="F74" s="2" t="s">
        <v>13</v>
      </c>
    </row>
    <row r="75" ht="28.8" spans="1:6">
      <c r="A75" s="2" t="s">
        <v>212</v>
      </c>
      <c r="B75" s="2" t="s">
        <v>213</v>
      </c>
      <c r="C75" s="2" t="s">
        <v>178</v>
      </c>
      <c r="D75" s="2" t="s">
        <v>55</v>
      </c>
      <c r="E75" s="2" t="s">
        <v>56</v>
      </c>
      <c r="F75" s="2" t="s">
        <v>13</v>
      </c>
    </row>
    <row r="76" spans="1:6">
      <c r="A76" s="2" t="s">
        <v>214</v>
      </c>
      <c r="B76" s="2" t="s">
        <v>215</v>
      </c>
      <c r="C76" s="2" t="s">
        <v>178</v>
      </c>
      <c r="D76" s="2" t="s">
        <v>55</v>
      </c>
      <c r="E76" s="2" t="s">
        <v>56</v>
      </c>
      <c r="F76" s="2" t="s">
        <v>13</v>
      </c>
    </row>
    <row r="77" ht="28.8" spans="1:6">
      <c r="A77" s="2" t="s">
        <v>216</v>
      </c>
      <c r="B77" s="2" t="s">
        <v>217</v>
      </c>
      <c r="C77" s="2" t="s">
        <v>178</v>
      </c>
      <c r="D77" s="2" t="s">
        <v>55</v>
      </c>
      <c r="E77" s="2" t="s">
        <v>56</v>
      </c>
      <c r="F77" s="2" t="s">
        <v>13</v>
      </c>
    </row>
    <row r="78" ht="28.8" spans="1:6">
      <c r="A78" s="2" t="s">
        <v>218</v>
      </c>
      <c r="B78" s="2" t="s">
        <v>219</v>
      </c>
      <c r="C78" s="2" t="s">
        <v>178</v>
      </c>
      <c r="D78" s="2" t="s">
        <v>55</v>
      </c>
      <c r="E78" s="2" t="s">
        <v>56</v>
      </c>
      <c r="F78" s="2" t="s">
        <v>13</v>
      </c>
    </row>
    <row r="79" ht="28.8" spans="1:6">
      <c r="A79" s="2" t="s">
        <v>220</v>
      </c>
      <c r="B79" s="2" t="s">
        <v>221</v>
      </c>
      <c r="C79" s="2" t="s">
        <v>178</v>
      </c>
      <c r="D79" s="2" t="s">
        <v>55</v>
      </c>
      <c r="E79" s="2" t="s">
        <v>56</v>
      </c>
      <c r="F79" s="2" t="s">
        <v>13</v>
      </c>
    </row>
    <row r="80" ht="28.8" spans="1:6">
      <c r="A80" s="2" t="s">
        <v>222</v>
      </c>
      <c r="B80" s="2" t="s">
        <v>223</v>
      </c>
      <c r="C80" s="2" t="s">
        <v>178</v>
      </c>
      <c r="D80" s="2" t="s">
        <v>113</v>
      </c>
      <c r="E80" s="2" t="s">
        <v>56</v>
      </c>
      <c r="F80" s="2" t="s">
        <v>13</v>
      </c>
    </row>
    <row r="81" ht="28.8" spans="1:6">
      <c r="A81" s="2" t="s">
        <v>224</v>
      </c>
      <c r="B81" s="2" t="s">
        <v>225</v>
      </c>
      <c r="C81" s="2" t="s">
        <v>178</v>
      </c>
      <c r="D81" s="2" t="s">
        <v>55</v>
      </c>
      <c r="E81" s="2" t="s">
        <v>56</v>
      </c>
      <c r="F81" s="2" t="s">
        <v>13</v>
      </c>
    </row>
    <row r="82" ht="28.8" spans="1:6">
      <c r="A82" s="2" t="s">
        <v>226</v>
      </c>
      <c r="B82" s="2" t="s">
        <v>227</v>
      </c>
      <c r="C82" s="2" t="s">
        <v>178</v>
      </c>
      <c r="D82" s="2" t="s">
        <v>55</v>
      </c>
      <c r="E82" s="2" t="s">
        <v>56</v>
      </c>
      <c r="F82" s="2" t="s">
        <v>13</v>
      </c>
    </row>
    <row r="83" ht="28.8" spans="1:6">
      <c r="A83" s="2" t="s">
        <v>228</v>
      </c>
      <c r="B83" s="2" t="s">
        <v>229</v>
      </c>
      <c r="C83" s="2" t="s">
        <v>230</v>
      </c>
      <c r="D83" s="2" t="s">
        <v>55</v>
      </c>
      <c r="E83" s="2" t="s">
        <v>56</v>
      </c>
      <c r="F83" s="2" t="s">
        <v>13</v>
      </c>
    </row>
    <row r="84" ht="43.2" spans="1:6">
      <c r="A84" s="2" t="s">
        <v>231</v>
      </c>
      <c r="B84" s="2" t="s">
        <v>232</v>
      </c>
      <c r="C84" s="2" t="s">
        <v>230</v>
      </c>
      <c r="D84" s="2" t="s">
        <v>55</v>
      </c>
      <c r="E84" s="2" t="s">
        <v>56</v>
      </c>
      <c r="F84" s="2" t="s">
        <v>13</v>
      </c>
    </row>
    <row r="85" ht="43.2" spans="1:6">
      <c r="A85" s="2" t="s">
        <v>233</v>
      </c>
      <c r="B85" s="2" t="s">
        <v>234</v>
      </c>
      <c r="C85" s="2" t="s">
        <v>230</v>
      </c>
      <c r="D85" s="2" t="s">
        <v>55</v>
      </c>
      <c r="E85" s="2" t="s">
        <v>56</v>
      </c>
      <c r="F85" s="2" t="s">
        <v>13</v>
      </c>
    </row>
    <row r="86" ht="28.8" spans="1:6">
      <c r="A86" s="2" t="s">
        <v>235</v>
      </c>
      <c r="B86" s="2" t="s">
        <v>236</v>
      </c>
      <c r="C86" s="2" t="s">
        <v>230</v>
      </c>
      <c r="D86" s="2" t="s">
        <v>55</v>
      </c>
      <c r="E86" s="2" t="s">
        <v>56</v>
      </c>
      <c r="F86" s="2" t="s">
        <v>13</v>
      </c>
    </row>
    <row r="87" spans="1:6">
      <c r="A87" s="2" t="s">
        <v>237</v>
      </c>
      <c r="B87" s="2" t="s">
        <v>238</v>
      </c>
      <c r="C87" s="2" t="s">
        <v>230</v>
      </c>
      <c r="D87" s="2" t="s">
        <v>113</v>
      </c>
      <c r="E87" s="2" t="s">
        <v>56</v>
      </c>
      <c r="F87" s="2" t="s">
        <v>13</v>
      </c>
    </row>
    <row r="88" ht="43.2" spans="1:6">
      <c r="A88" s="2" t="s">
        <v>239</v>
      </c>
      <c r="B88" s="2" t="s">
        <v>240</v>
      </c>
      <c r="C88" s="2" t="s">
        <v>230</v>
      </c>
      <c r="D88" s="2" t="s">
        <v>241</v>
      </c>
      <c r="E88" s="2" t="s">
        <v>56</v>
      </c>
      <c r="F88" s="2" t="s">
        <v>13</v>
      </c>
    </row>
    <row r="89" ht="28.8" spans="1:6">
      <c r="A89" s="2" t="s">
        <v>242</v>
      </c>
      <c r="B89" s="2" t="s">
        <v>243</v>
      </c>
      <c r="C89" s="2" t="s">
        <v>244</v>
      </c>
      <c r="D89" s="2" t="s">
        <v>55</v>
      </c>
      <c r="E89" s="2" t="s">
        <v>56</v>
      </c>
      <c r="F89" s="2" t="s">
        <v>13</v>
      </c>
    </row>
    <row r="90" spans="1:6">
      <c r="A90" s="2" t="s">
        <v>245</v>
      </c>
      <c r="B90" s="2" t="s">
        <v>246</v>
      </c>
      <c r="C90" s="2" t="s">
        <v>244</v>
      </c>
      <c r="D90" s="2" t="s">
        <v>55</v>
      </c>
      <c r="E90" s="2" t="s">
        <v>56</v>
      </c>
      <c r="F90" s="2" t="s">
        <v>13</v>
      </c>
    </row>
    <row r="91" ht="28.8" spans="1:6">
      <c r="A91" s="2" t="s">
        <v>247</v>
      </c>
      <c r="B91" s="2" t="s">
        <v>248</v>
      </c>
      <c r="C91" s="2" t="s">
        <v>244</v>
      </c>
      <c r="D91" s="2" t="s">
        <v>113</v>
      </c>
      <c r="E91" s="2" t="s">
        <v>56</v>
      </c>
      <c r="F91" s="2" t="s">
        <v>13</v>
      </c>
    </row>
    <row r="92" spans="1:6">
      <c r="A92" s="2" t="s">
        <v>249</v>
      </c>
      <c r="B92" s="2" t="s">
        <v>250</v>
      </c>
      <c r="C92" s="2" t="s">
        <v>244</v>
      </c>
      <c r="D92" s="2" t="s">
        <v>55</v>
      </c>
      <c r="E92" s="2" t="s">
        <v>56</v>
      </c>
      <c r="F92" s="2" t="s">
        <v>13</v>
      </c>
    </row>
    <row r="93" ht="28.8" spans="1:6">
      <c r="A93" s="2" t="s">
        <v>251</v>
      </c>
      <c r="B93" s="2" t="s">
        <v>252</v>
      </c>
      <c r="C93" s="2" t="s">
        <v>244</v>
      </c>
      <c r="D93" s="2" t="s">
        <v>113</v>
      </c>
      <c r="E93" s="2" t="s">
        <v>56</v>
      </c>
      <c r="F93" s="2" t="s">
        <v>13</v>
      </c>
    </row>
    <row r="94" spans="1:6">
      <c r="A94" s="2" t="s">
        <v>253</v>
      </c>
      <c r="B94" s="2" t="s">
        <v>254</v>
      </c>
      <c r="C94" s="2" t="s">
        <v>244</v>
      </c>
      <c r="D94" s="2" t="s">
        <v>55</v>
      </c>
      <c r="E94" s="2" t="s">
        <v>56</v>
      </c>
      <c r="F94" s="2" t="s">
        <v>13</v>
      </c>
    </row>
    <row r="95" ht="28.8" spans="1:6">
      <c r="A95" s="2" t="s">
        <v>255</v>
      </c>
      <c r="B95" s="2" t="s">
        <v>256</v>
      </c>
      <c r="C95" s="2" t="s">
        <v>244</v>
      </c>
      <c r="D95" s="2" t="s">
        <v>55</v>
      </c>
      <c r="E95" s="2" t="s">
        <v>56</v>
      </c>
      <c r="F95" s="2" t="s">
        <v>13</v>
      </c>
    </row>
    <row r="96" ht="28.8" spans="1:6">
      <c r="A96" s="2" t="s">
        <v>257</v>
      </c>
      <c r="B96" s="2" t="s">
        <v>258</v>
      </c>
      <c r="C96" s="2" t="s">
        <v>259</v>
      </c>
      <c r="D96" s="2" t="s">
        <v>55</v>
      </c>
      <c r="E96" s="2" t="s">
        <v>56</v>
      </c>
      <c r="F96" s="2" t="s">
        <v>13</v>
      </c>
    </row>
    <row r="97" spans="1:6">
      <c r="A97" s="2" t="s">
        <v>260</v>
      </c>
      <c r="B97" s="2" t="s">
        <v>261</v>
      </c>
      <c r="C97" s="2" t="s">
        <v>259</v>
      </c>
      <c r="D97" s="2" t="s">
        <v>55</v>
      </c>
      <c r="E97" s="2" t="s">
        <v>56</v>
      </c>
      <c r="F97" s="2" t="s">
        <v>13</v>
      </c>
    </row>
    <row r="98" ht="28.8" spans="1:6">
      <c r="A98" s="2" t="s">
        <v>262</v>
      </c>
      <c r="B98" s="2" t="s">
        <v>263</v>
      </c>
      <c r="C98" s="2" t="s">
        <v>259</v>
      </c>
      <c r="D98" s="2" t="s">
        <v>55</v>
      </c>
      <c r="E98" s="2" t="s">
        <v>56</v>
      </c>
      <c r="F98" s="2" t="s">
        <v>13</v>
      </c>
    </row>
    <row r="99" ht="28.8" spans="1:6">
      <c r="A99" s="2" t="s">
        <v>264</v>
      </c>
      <c r="B99" s="2" t="s">
        <v>265</v>
      </c>
      <c r="C99" s="2" t="s">
        <v>259</v>
      </c>
      <c r="D99" s="2" t="s">
        <v>55</v>
      </c>
      <c r="E99" s="2" t="s">
        <v>56</v>
      </c>
      <c r="F99" s="2" t="s">
        <v>13</v>
      </c>
    </row>
    <row r="100" spans="1:6">
      <c r="A100" s="2" t="s">
        <v>266</v>
      </c>
      <c r="B100" s="2" t="s">
        <v>267</v>
      </c>
      <c r="C100" s="2" t="s">
        <v>259</v>
      </c>
      <c r="D100" s="2" t="s">
        <v>55</v>
      </c>
      <c r="E100" s="2" t="s">
        <v>56</v>
      </c>
      <c r="F100" s="2" t="s">
        <v>13</v>
      </c>
    </row>
    <row r="101" ht="28.8" spans="1:6">
      <c r="A101" s="2" t="s">
        <v>268</v>
      </c>
      <c r="B101" s="2" t="s">
        <v>269</v>
      </c>
      <c r="C101" s="2" t="s">
        <v>259</v>
      </c>
      <c r="D101" s="2" t="s">
        <v>55</v>
      </c>
      <c r="E101" s="2" t="s">
        <v>56</v>
      </c>
      <c r="F101" s="2" t="s">
        <v>13</v>
      </c>
    </row>
    <row r="102" ht="28.8" spans="1:6">
      <c r="A102" s="2" t="s">
        <v>270</v>
      </c>
      <c r="B102" s="2" t="s">
        <v>271</v>
      </c>
      <c r="C102" s="2" t="s">
        <v>259</v>
      </c>
      <c r="D102" s="2" t="s">
        <v>55</v>
      </c>
      <c r="E102" s="2" t="s">
        <v>56</v>
      </c>
      <c r="F102" s="2" t="s">
        <v>13</v>
      </c>
    </row>
    <row r="103" ht="28.8" spans="1:6">
      <c r="A103" s="2" t="s">
        <v>272</v>
      </c>
      <c r="B103" s="2" t="s">
        <v>273</v>
      </c>
      <c r="C103" s="2" t="s">
        <v>259</v>
      </c>
      <c r="D103" s="2" t="s">
        <v>55</v>
      </c>
      <c r="E103" s="2" t="s">
        <v>56</v>
      </c>
      <c r="F103" s="2" t="s">
        <v>13</v>
      </c>
    </row>
    <row r="104" spans="1:6">
      <c r="A104" s="2" t="s">
        <v>274</v>
      </c>
      <c r="B104" s="2" t="s">
        <v>275</v>
      </c>
      <c r="C104" s="2" t="s">
        <v>259</v>
      </c>
      <c r="D104" s="2" t="s">
        <v>113</v>
      </c>
      <c r="E104" s="2" t="s">
        <v>56</v>
      </c>
      <c r="F104" s="2" t="s">
        <v>13</v>
      </c>
    </row>
    <row r="105" ht="28.8" spans="1:6">
      <c r="A105" s="2" t="s">
        <v>276</v>
      </c>
      <c r="B105" s="2" t="s">
        <v>277</v>
      </c>
      <c r="C105" s="2" t="s">
        <v>259</v>
      </c>
      <c r="D105" s="2" t="s">
        <v>55</v>
      </c>
      <c r="E105" s="2" t="s">
        <v>56</v>
      </c>
      <c r="F105" s="2" t="s">
        <v>13</v>
      </c>
    </row>
    <row r="106" ht="28.8" spans="1:6">
      <c r="A106" s="2" t="s">
        <v>278</v>
      </c>
      <c r="B106" s="2" t="s">
        <v>279</v>
      </c>
      <c r="C106" s="2" t="s">
        <v>259</v>
      </c>
      <c r="D106" s="2" t="s">
        <v>113</v>
      </c>
      <c r="E106" s="2" t="s">
        <v>56</v>
      </c>
      <c r="F106" s="2" t="s">
        <v>13</v>
      </c>
    </row>
    <row r="107" ht="28.8" spans="1:6">
      <c r="A107" s="2" t="s">
        <v>280</v>
      </c>
      <c r="B107" s="2" t="s">
        <v>281</v>
      </c>
      <c r="C107" s="2" t="s">
        <v>259</v>
      </c>
      <c r="D107" s="2" t="s">
        <v>55</v>
      </c>
      <c r="E107" s="2" t="s">
        <v>56</v>
      </c>
      <c r="F107" s="2" t="s">
        <v>13</v>
      </c>
    </row>
    <row r="108" ht="43.2" spans="1:6">
      <c r="A108" s="2" t="s">
        <v>282</v>
      </c>
      <c r="B108" s="2" t="s">
        <v>283</v>
      </c>
      <c r="C108" s="2" t="s">
        <v>284</v>
      </c>
      <c r="D108" s="2" t="s">
        <v>201</v>
      </c>
      <c r="E108" s="2" t="s">
        <v>56</v>
      </c>
      <c r="F108" s="2" t="s">
        <v>13</v>
      </c>
    </row>
    <row r="109" ht="28.8" spans="1:6">
      <c r="A109" s="2" t="s">
        <v>285</v>
      </c>
      <c r="B109" s="2" t="s">
        <v>286</v>
      </c>
      <c r="C109" s="2" t="s">
        <v>284</v>
      </c>
      <c r="D109" s="2" t="s">
        <v>201</v>
      </c>
      <c r="E109" s="2" t="s">
        <v>56</v>
      </c>
      <c r="F109" s="2" t="s">
        <v>13</v>
      </c>
    </row>
    <row r="110" ht="28.8" spans="1:6">
      <c r="A110" s="2" t="s">
        <v>287</v>
      </c>
      <c r="B110" s="2" t="s">
        <v>288</v>
      </c>
      <c r="C110" s="2" t="s">
        <v>284</v>
      </c>
      <c r="D110" s="2" t="s">
        <v>201</v>
      </c>
      <c r="E110" s="2" t="s">
        <v>56</v>
      </c>
      <c r="F110" s="2" t="s">
        <v>13</v>
      </c>
    </row>
    <row r="111" ht="28.8" spans="1:6">
      <c r="A111" s="2" t="s">
        <v>289</v>
      </c>
      <c r="B111" s="2" t="s">
        <v>290</v>
      </c>
      <c r="C111" s="2" t="s">
        <v>284</v>
      </c>
      <c r="D111" s="2" t="s">
        <v>201</v>
      </c>
      <c r="E111" s="2" t="s">
        <v>56</v>
      </c>
      <c r="F111" s="2" t="s">
        <v>13</v>
      </c>
    </row>
    <row r="112" ht="43.2" spans="1:6">
      <c r="A112" s="2" t="s">
        <v>291</v>
      </c>
      <c r="B112" s="2" t="s">
        <v>292</v>
      </c>
      <c r="C112" s="2" t="s">
        <v>284</v>
      </c>
      <c r="D112" s="2" t="s">
        <v>201</v>
      </c>
      <c r="E112" s="2" t="s">
        <v>56</v>
      </c>
      <c r="F112" s="2" t="s">
        <v>13</v>
      </c>
    </row>
    <row r="113" ht="28.8" spans="1:6">
      <c r="A113" s="2" t="s">
        <v>293</v>
      </c>
      <c r="B113" s="2" t="s">
        <v>294</v>
      </c>
      <c r="C113" s="2" t="s">
        <v>284</v>
      </c>
      <c r="D113" s="2" t="s">
        <v>201</v>
      </c>
      <c r="E113" s="2" t="s">
        <v>56</v>
      </c>
      <c r="F113" s="2" t="s">
        <v>13</v>
      </c>
    </row>
    <row r="114" ht="43.2" spans="1:6">
      <c r="A114" s="2" t="s">
        <v>295</v>
      </c>
      <c r="B114" s="2" t="s">
        <v>296</v>
      </c>
      <c r="C114" s="2" t="s">
        <v>91</v>
      </c>
      <c r="D114" s="2" t="s">
        <v>55</v>
      </c>
      <c r="E114" s="2" t="s">
        <v>56</v>
      </c>
      <c r="F114" s="2" t="s">
        <v>13</v>
      </c>
    </row>
    <row r="115" spans="1:6">
      <c r="A115" s="2" t="s">
        <v>297</v>
      </c>
      <c r="B115" s="2" t="s">
        <v>298</v>
      </c>
      <c r="C115" s="2" t="s">
        <v>91</v>
      </c>
      <c r="D115" s="2" t="s">
        <v>55</v>
      </c>
      <c r="E115" s="2" t="s">
        <v>56</v>
      </c>
      <c r="F115" s="2" t="s">
        <v>13</v>
      </c>
    </row>
    <row r="116" ht="28.8" spans="1:6">
      <c r="A116" s="2" t="s">
        <v>299</v>
      </c>
      <c r="B116" s="2" t="s">
        <v>300</v>
      </c>
      <c r="C116" s="2" t="s">
        <v>91</v>
      </c>
      <c r="D116" s="2" t="s">
        <v>55</v>
      </c>
      <c r="E116" s="2" t="s">
        <v>56</v>
      </c>
      <c r="F116" s="2" t="s">
        <v>13</v>
      </c>
    </row>
    <row r="117" spans="1:6">
      <c r="A117" s="2" t="s">
        <v>301</v>
      </c>
      <c r="B117" s="2" t="s">
        <v>302</v>
      </c>
      <c r="C117" s="2" t="s">
        <v>303</v>
      </c>
      <c r="D117" s="2" t="s">
        <v>55</v>
      </c>
      <c r="E117" s="2" t="s">
        <v>56</v>
      </c>
      <c r="F117" s="2" t="s">
        <v>13</v>
      </c>
    </row>
    <row r="118" ht="28.8" spans="1:6">
      <c r="A118" s="2" t="s">
        <v>304</v>
      </c>
      <c r="B118" s="2" t="s">
        <v>305</v>
      </c>
      <c r="C118" s="2" t="s">
        <v>303</v>
      </c>
      <c r="D118" s="2" t="s">
        <v>55</v>
      </c>
      <c r="E118" s="2" t="s">
        <v>56</v>
      </c>
      <c r="F118" s="2" t="s">
        <v>13</v>
      </c>
    </row>
    <row r="119" spans="1:6">
      <c r="A119" s="2" t="s">
        <v>306</v>
      </c>
      <c r="B119" s="2" t="s">
        <v>307</v>
      </c>
      <c r="C119" s="2" t="s">
        <v>303</v>
      </c>
      <c r="D119" s="2" t="s">
        <v>55</v>
      </c>
      <c r="E119" s="2" t="s">
        <v>56</v>
      </c>
      <c r="F119" s="2" t="s">
        <v>13</v>
      </c>
    </row>
    <row r="120" ht="28.8" spans="1:6">
      <c r="A120" s="2" t="s">
        <v>308</v>
      </c>
      <c r="B120" s="2" t="s">
        <v>309</v>
      </c>
      <c r="C120" s="2" t="s">
        <v>303</v>
      </c>
      <c r="D120" s="2" t="s">
        <v>55</v>
      </c>
      <c r="E120" s="2" t="s">
        <v>56</v>
      </c>
      <c r="F120" s="2" t="s">
        <v>13</v>
      </c>
    </row>
    <row r="121" spans="1:6">
      <c r="A121" s="2" t="s">
        <v>310</v>
      </c>
      <c r="B121" s="2" t="s">
        <v>311</v>
      </c>
      <c r="C121" s="2" t="s">
        <v>303</v>
      </c>
      <c r="D121" s="2" t="s">
        <v>55</v>
      </c>
      <c r="E121" s="2" t="s">
        <v>56</v>
      </c>
      <c r="F121" s="2" t="s">
        <v>13</v>
      </c>
    </row>
    <row r="122" spans="1:6">
      <c r="A122" s="2" t="s">
        <v>312</v>
      </c>
      <c r="B122" s="2" t="s">
        <v>313</v>
      </c>
      <c r="C122" s="2" t="s">
        <v>303</v>
      </c>
      <c r="D122" s="2" t="s">
        <v>55</v>
      </c>
      <c r="E122" s="2" t="s">
        <v>56</v>
      </c>
      <c r="F122" s="2" t="s">
        <v>13</v>
      </c>
    </row>
    <row r="123" ht="28.8" spans="1:6">
      <c r="A123" s="2" t="s">
        <v>314</v>
      </c>
      <c r="B123" s="2" t="s">
        <v>315</v>
      </c>
      <c r="C123" s="2" t="s">
        <v>303</v>
      </c>
      <c r="D123" s="2" t="s">
        <v>55</v>
      </c>
      <c r="E123" s="2" t="s">
        <v>56</v>
      </c>
      <c r="F123" s="2" t="s">
        <v>13</v>
      </c>
    </row>
    <row r="124" ht="28.8" spans="1:6">
      <c r="A124" s="2" t="s">
        <v>316</v>
      </c>
      <c r="B124" s="2" t="s">
        <v>317</v>
      </c>
      <c r="C124" s="2" t="s">
        <v>303</v>
      </c>
      <c r="D124" s="2" t="s">
        <v>55</v>
      </c>
      <c r="E124" s="2" t="s">
        <v>56</v>
      </c>
      <c r="F124" s="2" t="s">
        <v>13</v>
      </c>
    </row>
    <row r="125" ht="28.8" spans="1:6">
      <c r="A125" s="2" t="s">
        <v>318</v>
      </c>
      <c r="B125" s="2" t="s">
        <v>319</v>
      </c>
      <c r="C125" s="2" t="s">
        <v>320</v>
      </c>
      <c r="D125" s="2" t="s">
        <v>55</v>
      </c>
      <c r="E125" s="2" t="s">
        <v>56</v>
      </c>
      <c r="F125" s="2" t="s">
        <v>13</v>
      </c>
    </row>
    <row r="126" ht="28.8" spans="1:6">
      <c r="A126" s="2" t="s">
        <v>321</v>
      </c>
      <c r="B126" s="2" t="s">
        <v>322</v>
      </c>
      <c r="C126" s="2" t="s">
        <v>320</v>
      </c>
      <c r="D126" s="2" t="s">
        <v>55</v>
      </c>
      <c r="E126" s="2" t="s">
        <v>56</v>
      </c>
      <c r="F126" s="2" t="s">
        <v>13</v>
      </c>
    </row>
    <row r="127" spans="1:6">
      <c r="A127" s="2" t="s">
        <v>323</v>
      </c>
      <c r="B127" s="2" t="s">
        <v>324</v>
      </c>
      <c r="C127" s="2" t="s">
        <v>320</v>
      </c>
      <c r="D127" s="2" t="s">
        <v>55</v>
      </c>
      <c r="E127" s="2" t="s">
        <v>56</v>
      </c>
      <c r="F127" s="2" t="s">
        <v>13</v>
      </c>
    </row>
    <row r="128" ht="28.8" spans="1:6">
      <c r="A128" s="2" t="s">
        <v>325</v>
      </c>
      <c r="B128" s="2" t="s">
        <v>326</v>
      </c>
      <c r="C128" s="2" t="s">
        <v>320</v>
      </c>
      <c r="D128" s="2" t="s">
        <v>113</v>
      </c>
      <c r="E128" s="2" t="s">
        <v>56</v>
      </c>
      <c r="F128" s="2" t="s">
        <v>13</v>
      </c>
    </row>
    <row r="129" ht="28.8" spans="1:6">
      <c r="A129" s="2" t="s">
        <v>327</v>
      </c>
      <c r="B129" s="2" t="s">
        <v>328</v>
      </c>
      <c r="C129" s="2" t="s">
        <v>329</v>
      </c>
      <c r="D129" s="2" t="s">
        <v>113</v>
      </c>
      <c r="E129" s="2" t="s">
        <v>56</v>
      </c>
      <c r="F129" s="2" t="s">
        <v>13</v>
      </c>
    </row>
    <row r="130" spans="1:6">
      <c r="A130" s="2" t="s">
        <v>330</v>
      </c>
      <c r="B130" s="2" t="s">
        <v>331</v>
      </c>
      <c r="C130" s="2" t="s">
        <v>332</v>
      </c>
      <c r="D130" s="2" t="s">
        <v>55</v>
      </c>
      <c r="E130" s="2" t="s">
        <v>56</v>
      </c>
      <c r="F130" s="2" t="s">
        <v>13</v>
      </c>
    </row>
    <row r="131" spans="1:6">
      <c r="A131" s="2" t="s">
        <v>333</v>
      </c>
      <c r="B131" s="2" t="s">
        <v>334</v>
      </c>
      <c r="C131" s="2" t="s">
        <v>332</v>
      </c>
      <c r="D131" s="2" t="s">
        <v>55</v>
      </c>
      <c r="E131" s="2" t="s">
        <v>56</v>
      </c>
      <c r="F131" s="2" t="s">
        <v>13</v>
      </c>
    </row>
    <row r="132" ht="28.8" spans="1:6">
      <c r="A132" s="2" t="s">
        <v>335</v>
      </c>
      <c r="B132" s="2" t="s">
        <v>336</v>
      </c>
      <c r="C132" s="2" t="s">
        <v>332</v>
      </c>
      <c r="D132" s="2" t="s">
        <v>55</v>
      </c>
      <c r="E132" s="2" t="s">
        <v>56</v>
      </c>
      <c r="F132" s="2" t="s">
        <v>13</v>
      </c>
    </row>
    <row r="133" ht="28.8" spans="1:6">
      <c r="A133" s="2" t="s">
        <v>337</v>
      </c>
      <c r="B133" s="2" t="s">
        <v>338</v>
      </c>
      <c r="C133" s="2" t="s">
        <v>332</v>
      </c>
      <c r="D133" s="2" t="s">
        <v>55</v>
      </c>
      <c r="E133" s="2" t="s">
        <v>56</v>
      </c>
      <c r="F133" s="2" t="s">
        <v>13</v>
      </c>
    </row>
    <row r="134" spans="1:6">
      <c r="A134" s="2" t="s">
        <v>339</v>
      </c>
      <c r="B134" s="2" t="s">
        <v>340</v>
      </c>
      <c r="C134" s="2" t="s">
        <v>332</v>
      </c>
      <c r="D134" s="2" t="s">
        <v>55</v>
      </c>
      <c r="E134" s="2" t="s">
        <v>56</v>
      </c>
      <c r="F134" s="2" t="s">
        <v>13</v>
      </c>
    </row>
    <row r="135" ht="28.8" spans="1:6">
      <c r="A135" s="2" t="s">
        <v>341</v>
      </c>
      <c r="B135" s="2" t="s">
        <v>342</v>
      </c>
      <c r="C135" s="2" t="s">
        <v>332</v>
      </c>
      <c r="D135" s="2" t="s">
        <v>55</v>
      </c>
      <c r="E135" s="2" t="s">
        <v>56</v>
      </c>
      <c r="F135" s="2" t="s">
        <v>13</v>
      </c>
    </row>
    <row r="136" spans="1:6">
      <c r="A136" s="2" t="s">
        <v>343</v>
      </c>
      <c r="B136" s="2" t="s">
        <v>344</v>
      </c>
      <c r="C136" s="2" t="s">
        <v>332</v>
      </c>
      <c r="D136" s="2" t="s">
        <v>55</v>
      </c>
      <c r="E136" s="2" t="s">
        <v>56</v>
      </c>
      <c r="F136" s="2" t="s">
        <v>13</v>
      </c>
    </row>
    <row r="137" spans="1:6">
      <c r="A137" s="2" t="s">
        <v>345</v>
      </c>
      <c r="B137" s="2" t="s">
        <v>346</v>
      </c>
      <c r="C137" s="2" t="s">
        <v>347</v>
      </c>
      <c r="D137" s="2" t="s">
        <v>55</v>
      </c>
      <c r="E137" s="2" t="s">
        <v>56</v>
      </c>
      <c r="F137" s="2" t="s">
        <v>13</v>
      </c>
    </row>
    <row r="138" ht="28.8" spans="1:6">
      <c r="A138" s="2" t="s">
        <v>348</v>
      </c>
      <c r="B138" s="2" t="s">
        <v>349</v>
      </c>
      <c r="C138" s="2" t="s">
        <v>350</v>
      </c>
      <c r="D138" s="2" t="s">
        <v>55</v>
      </c>
      <c r="E138" s="2" t="s">
        <v>56</v>
      </c>
      <c r="F138" s="2" t="s">
        <v>13</v>
      </c>
    </row>
    <row r="139" ht="28.8" spans="1:6">
      <c r="A139" s="2" t="s">
        <v>351</v>
      </c>
      <c r="B139" s="2" t="s">
        <v>352</v>
      </c>
      <c r="C139" s="2" t="s">
        <v>353</v>
      </c>
      <c r="D139" s="2" t="s">
        <v>55</v>
      </c>
      <c r="E139" s="2" t="s">
        <v>56</v>
      </c>
      <c r="F139" s="2" t="s">
        <v>13</v>
      </c>
    </row>
    <row r="140" ht="28.8" spans="1:6">
      <c r="A140" s="2" t="s">
        <v>354</v>
      </c>
      <c r="B140" s="2" t="s">
        <v>355</v>
      </c>
      <c r="C140" s="2" t="s">
        <v>353</v>
      </c>
      <c r="D140" s="2" t="s">
        <v>113</v>
      </c>
      <c r="E140" s="2" t="s">
        <v>56</v>
      </c>
      <c r="F140" s="2" t="s">
        <v>13</v>
      </c>
    </row>
    <row r="141" ht="28.8" spans="1:6">
      <c r="A141" s="2" t="s">
        <v>356</v>
      </c>
      <c r="B141" s="2" t="s">
        <v>357</v>
      </c>
      <c r="C141" s="2" t="s">
        <v>353</v>
      </c>
      <c r="D141" s="2" t="s">
        <v>113</v>
      </c>
      <c r="E141" s="2" t="s">
        <v>56</v>
      </c>
      <c r="F141" s="2" t="s">
        <v>13</v>
      </c>
    </row>
    <row r="142" ht="28.8" spans="1:6">
      <c r="A142" s="2" t="s">
        <v>358</v>
      </c>
      <c r="B142" s="2" t="s">
        <v>359</v>
      </c>
      <c r="C142" s="2" t="s">
        <v>360</v>
      </c>
      <c r="D142" s="2" t="s">
        <v>55</v>
      </c>
      <c r="E142" s="2" t="s">
        <v>56</v>
      </c>
      <c r="F142" s="2" t="s">
        <v>13</v>
      </c>
    </row>
    <row r="143" spans="1:6">
      <c r="A143" s="2" t="s">
        <v>361</v>
      </c>
      <c r="B143" s="2" t="s">
        <v>362</v>
      </c>
      <c r="C143" s="2" t="s">
        <v>363</v>
      </c>
      <c r="D143" s="2" t="s">
        <v>55</v>
      </c>
      <c r="E143" s="2" t="s">
        <v>56</v>
      </c>
      <c r="F143" s="2" t="s">
        <v>13</v>
      </c>
    </row>
    <row r="144" spans="1:6">
      <c r="A144" s="2" t="s">
        <v>364</v>
      </c>
      <c r="B144" s="2" t="s">
        <v>365</v>
      </c>
      <c r="C144" s="2" t="s">
        <v>363</v>
      </c>
      <c r="D144" s="2" t="s">
        <v>55</v>
      </c>
      <c r="E144" s="2" t="s">
        <v>56</v>
      </c>
      <c r="F144" s="2" t="s">
        <v>13</v>
      </c>
    </row>
    <row r="145" ht="28.8" spans="1:6">
      <c r="A145" s="2" t="s">
        <v>366</v>
      </c>
      <c r="B145" s="2" t="s">
        <v>367</v>
      </c>
      <c r="C145" s="2" t="s">
        <v>368</v>
      </c>
      <c r="D145" s="2" t="s">
        <v>113</v>
      </c>
      <c r="E145" s="2" t="s">
        <v>56</v>
      </c>
      <c r="F145" s="2" t="s">
        <v>13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45"/>
  <sheetViews>
    <sheetView workbookViewId="0">
      <pane ySplit="1" topLeftCell="A142" activePane="bottomLeft" state="frozen"/>
      <selection/>
      <selection pane="bottomLeft" activeCell="A1" sqref="A1"/>
    </sheetView>
  </sheetViews>
  <sheetFormatPr defaultColWidth="9" defaultRowHeight="14.4" outlineLevelCol="6"/>
  <cols>
    <col min="1" max="1" width="10" customWidth="1"/>
    <col min="2" max="2" width="16" customWidth="1"/>
    <col min="3" max="3" width="20" customWidth="1"/>
    <col min="4" max="4" width="18" customWidth="1"/>
    <col min="5" max="5" width="60" customWidth="1"/>
    <col min="6" max="6" width="70" customWidth="1"/>
    <col min="7" max="7" width="10" customWidth="1"/>
  </cols>
  <sheetData>
    <row r="1" ht="30" customHeight="1" spans="1:7">
      <c r="A1" s="1" t="s">
        <v>369</v>
      </c>
      <c r="B1" s="1" t="s">
        <v>46</v>
      </c>
      <c r="C1" s="1" t="s">
        <v>48</v>
      </c>
      <c r="D1" s="1" t="s">
        <v>370</v>
      </c>
      <c r="E1" s="1" t="s">
        <v>371</v>
      </c>
      <c r="F1" s="1" t="s">
        <v>372</v>
      </c>
      <c r="G1" s="1" t="s">
        <v>49</v>
      </c>
    </row>
    <row r="2" ht="72" spans="1:7">
      <c r="A2" s="2" t="s">
        <v>373</v>
      </c>
      <c r="B2" s="2" t="s">
        <v>52</v>
      </c>
      <c r="C2" s="2" t="s">
        <v>54</v>
      </c>
      <c r="D2" s="2" t="s">
        <v>374</v>
      </c>
      <c r="E2" s="2" t="s">
        <v>375</v>
      </c>
      <c r="F2" s="2" t="s">
        <v>376</v>
      </c>
      <c r="G2" s="2" t="s">
        <v>55</v>
      </c>
    </row>
    <row r="3" ht="57.6" spans="1:7">
      <c r="A3" s="2" t="s">
        <v>377</v>
      </c>
      <c r="B3" s="2" t="s">
        <v>57</v>
      </c>
      <c r="C3" s="2" t="s">
        <v>54</v>
      </c>
      <c r="D3" s="2" t="s">
        <v>374</v>
      </c>
      <c r="E3" s="2" t="s">
        <v>378</v>
      </c>
      <c r="F3" s="2" t="s">
        <v>379</v>
      </c>
      <c r="G3" s="2" t="s">
        <v>55</v>
      </c>
    </row>
    <row r="4" ht="43.2" spans="1:7">
      <c r="A4" s="2" t="s">
        <v>380</v>
      </c>
      <c r="B4" s="2" t="s">
        <v>59</v>
      </c>
      <c r="C4" s="2" t="s">
        <v>54</v>
      </c>
      <c r="D4" s="2" t="s">
        <v>374</v>
      </c>
      <c r="E4" s="2" t="s">
        <v>381</v>
      </c>
      <c r="F4" s="2" t="s">
        <v>382</v>
      </c>
      <c r="G4" s="2" t="s">
        <v>55</v>
      </c>
    </row>
    <row r="5" ht="72" spans="1:7">
      <c r="A5" s="2" t="s">
        <v>383</v>
      </c>
      <c r="B5" s="2" t="s">
        <v>61</v>
      </c>
      <c r="C5" s="2" t="s">
        <v>54</v>
      </c>
      <c r="D5" s="2" t="s">
        <v>384</v>
      </c>
      <c r="E5" s="2" t="s">
        <v>385</v>
      </c>
      <c r="F5" s="2" t="s">
        <v>386</v>
      </c>
      <c r="G5" s="2" t="s">
        <v>55</v>
      </c>
    </row>
    <row r="6" ht="57.6" spans="1:7">
      <c r="A6" s="2" t="s">
        <v>387</v>
      </c>
      <c r="B6" s="2" t="s">
        <v>63</v>
      </c>
      <c r="C6" s="2" t="s">
        <v>54</v>
      </c>
      <c r="D6" s="2" t="s">
        <v>374</v>
      </c>
      <c r="E6" s="2" t="s">
        <v>388</v>
      </c>
      <c r="F6" s="2" t="s">
        <v>389</v>
      </c>
      <c r="G6" s="2" t="s">
        <v>55</v>
      </c>
    </row>
    <row r="7" ht="57.6" spans="1:7">
      <c r="A7" s="2" t="s">
        <v>390</v>
      </c>
      <c r="B7" s="2" t="s">
        <v>65</v>
      </c>
      <c r="C7" s="2" t="s">
        <v>54</v>
      </c>
      <c r="D7" s="2" t="s">
        <v>384</v>
      </c>
      <c r="E7" s="2" t="s">
        <v>391</v>
      </c>
      <c r="F7" s="2" t="s">
        <v>392</v>
      </c>
      <c r="G7" s="2" t="s">
        <v>55</v>
      </c>
    </row>
    <row r="8" ht="57.6" spans="1:7">
      <c r="A8" s="2" t="s">
        <v>393</v>
      </c>
      <c r="B8" s="2" t="s">
        <v>67</v>
      </c>
      <c r="C8" s="2" t="s">
        <v>54</v>
      </c>
      <c r="D8" s="2" t="s">
        <v>374</v>
      </c>
      <c r="E8" s="2" t="s">
        <v>394</v>
      </c>
      <c r="F8" s="2" t="s">
        <v>395</v>
      </c>
      <c r="G8" s="2" t="s">
        <v>55</v>
      </c>
    </row>
    <row r="9" ht="57.6" spans="1:7">
      <c r="A9" s="2" t="s">
        <v>396</v>
      </c>
      <c r="B9" s="2" t="s">
        <v>69</v>
      </c>
      <c r="C9" s="2" t="s">
        <v>54</v>
      </c>
      <c r="D9" s="2" t="s">
        <v>384</v>
      </c>
      <c r="E9" s="2" t="s">
        <v>397</v>
      </c>
      <c r="F9" s="2" t="s">
        <v>398</v>
      </c>
      <c r="G9" s="2" t="s">
        <v>55</v>
      </c>
    </row>
    <row r="10" ht="57.6" spans="1:7">
      <c r="A10" s="2" t="s">
        <v>399</v>
      </c>
      <c r="B10" s="2" t="s">
        <v>71</v>
      </c>
      <c r="C10" s="2" t="s">
        <v>54</v>
      </c>
      <c r="D10" s="2" t="s">
        <v>400</v>
      </c>
      <c r="E10" s="2" t="s">
        <v>401</v>
      </c>
      <c r="F10" s="2" t="s">
        <v>402</v>
      </c>
      <c r="G10" s="2" t="s">
        <v>55</v>
      </c>
    </row>
    <row r="11" ht="57.6" spans="1:7">
      <c r="A11" s="2" t="s">
        <v>403</v>
      </c>
      <c r="B11" s="2" t="s">
        <v>73</v>
      </c>
      <c r="C11" s="2" t="s">
        <v>54</v>
      </c>
      <c r="D11" s="2" t="s">
        <v>400</v>
      </c>
      <c r="E11" s="2" t="s">
        <v>404</v>
      </c>
      <c r="F11" s="2" t="s">
        <v>405</v>
      </c>
      <c r="G11" s="2" t="s">
        <v>55</v>
      </c>
    </row>
    <row r="12" ht="72" spans="1:7">
      <c r="A12" s="2" t="s">
        <v>406</v>
      </c>
      <c r="B12" s="2" t="s">
        <v>75</v>
      </c>
      <c r="C12" s="2" t="s">
        <v>77</v>
      </c>
      <c r="D12" s="2" t="s">
        <v>400</v>
      </c>
      <c r="E12" s="2" t="s">
        <v>407</v>
      </c>
      <c r="F12" s="2" t="s">
        <v>408</v>
      </c>
      <c r="G12" s="2" t="s">
        <v>55</v>
      </c>
    </row>
    <row r="13" ht="86.4" spans="1:7">
      <c r="A13" s="2" t="s">
        <v>409</v>
      </c>
      <c r="B13" s="2" t="s">
        <v>78</v>
      </c>
      <c r="C13" s="2" t="s">
        <v>80</v>
      </c>
      <c r="D13" s="2" t="s">
        <v>400</v>
      </c>
      <c r="E13" s="2" t="s">
        <v>410</v>
      </c>
      <c r="F13" s="2" t="s">
        <v>411</v>
      </c>
      <c r="G13" s="2" t="s">
        <v>55</v>
      </c>
    </row>
    <row r="14" ht="57.6" spans="1:7">
      <c r="A14" s="2" t="s">
        <v>412</v>
      </c>
      <c r="B14" s="2" t="s">
        <v>81</v>
      </c>
      <c r="C14" s="2" t="s">
        <v>80</v>
      </c>
      <c r="D14" s="2" t="s">
        <v>400</v>
      </c>
      <c r="E14" s="2" t="s">
        <v>413</v>
      </c>
      <c r="F14" s="2" t="s">
        <v>414</v>
      </c>
      <c r="G14" s="2" t="s">
        <v>55</v>
      </c>
    </row>
    <row r="15" ht="43.2" spans="1:7">
      <c r="A15" s="2" t="s">
        <v>415</v>
      </c>
      <c r="B15" s="2" t="s">
        <v>83</v>
      </c>
      <c r="C15" s="2" t="s">
        <v>80</v>
      </c>
      <c r="D15" s="2" t="s">
        <v>416</v>
      </c>
      <c r="E15" s="2" t="s">
        <v>417</v>
      </c>
      <c r="F15" s="2" t="s">
        <v>418</v>
      </c>
      <c r="G15" s="2" t="s">
        <v>55</v>
      </c>
    </row>
    <row r="16" ht="57.6" spans="1:7">
      <c r="A16" s="2" t="s">
        <v>419</v>
      </c>
      <c r="B16" s="2" t="s">
        <v>85</v>
      </c>
      <c r="C16" s="2" t="s">
        <v>80</v>
      </c>
      <c r="D16" s="2" t="s">
        <v>416</v>
      </c>
      <c r="E16" s="2" t="s">
        <v>420</v>
      </c>
      <c r="F16" s="2" t="s">
        <v>421</v>
      </c>
      <c r="G16" s="2" t="s">
        <v>55</v>
      </c>
    </row>
    <row r="17" ht="57.6" spans="1:7">
      <c r="A17" s="2" t="s">
        <v>422</v>
      </c>
      <c r="B17" s="2" t="s">
        <v>87</v>
      </c>
      <c r="C17" s="2" t="s">
        <v>80</v>
      </c>
      <c r="D17" s="2" t="s">
        <v>416</v>
      </c>
      <c r="E17" s="2" t="s">
        <v>423</v>
      </c>
      <c r="F17" s="2" t="s">
        <v>424</v>
      </c>
      <c r="G17" s="2" t="s">
        <v>55</v>
      </c>
    </row>
    <row r="18" ht="57.6" spans="1:7">
      <c r="A18" s="2" t="s">
        <v>425</v>
      </c>
      <c r="B18" s="2" t="s">
        <v>89</v>
      </c>
      <c r="C18" s="2" t="s">
        <v>91</v>
      </c>
      <c r="D18" s="2" t="s">
        <v>426</v>
      </c>
      <c r="E18" s="2" t="s">
        <v>427</v>
      </c>
      <c r="F18" s="2" t="s">
        <v>428</v>
      </c>
      <c r="G18" s="2" t="s">
        <v>55</v>
      </c>
    </row>
    <row r="19" ht="57.6" spans="1:7">
      <c r="A19" s="2" t="s">
        <v>429</v>
      </c>
      <c r="B19" s="2" t="s">
        <v>92</v>
      </c>
      <c r="C19" s="2" t="s">
        <v>91</v>
      </c>
      <c r="D19" s="2" t="s">
        <v>426</v>
      </c>
      <c r="E19" s="2" t="s">
        <v>430</v>
      </c>
      <c r="F19" s="2" t="s">
        <v>431</v>
      </c>
      <c r="G19" s="2" t="s">
        <v>55</v>
      </c>
    </row>
    <row r="20" ht="57.6" spans="1:7">
      <c r="A20" s="2" t="s">
        <v>432</v>
      </c>
      <c r="B20" s="2" t="s">
        <v>94</v>
      </c>
      <c r="C20" s="2" t="s">
        <v>80</v>
      </c>
      <c r="D20" s="2" t="s">
        <v>416</v>
      </c>
      <c r="E20" s="2" t="s">
        <v>433</v>
      </c>
      <c r="F20" s="2" t="s">
        <v>434</v>
      </c>
      <c r="G20" s="2" t="s">
        <v>55</v>
      </c>
    </row>
    <row r="21" ht="57.6" spans="1:7">
      <c r="A21" s="2" t="s">
        <v>435</v>
      </c>
      <c r="B21" s="2" t="s">
        <v>96</v>
      </c>
      <c r="C21" s="2" t="s">
        <v>80</v>
      </c>
      <c r="D21" s="2" t="s">
        <v>416</v>
      </c>
      <c r="E21" s="2" t="s">
        <v>436</v>
      </c>
      <c r="F21" s="2" t="s">
        <v>437</v>
      </c>
      <c r="G21" s="2" t="s">
        <v>55</v>
      </c>
    </row>
    <row r="22" ht="57.6" spans="1:7">
      <c r="A22" s="2" t="s">
        <v>438</v>
      </c>
      <c r="B22" s="2" t="s">
        <v>98</v>
      </c>
      <c r="C22" s="2" t="s">
        <v>100</v>
      </c>
      <c r="D22" s="2" t="s">
        <v>439</v>
      </c>
      <c r="E22" s="2" t="s">
        <v>440</v>
      </c>
      <c r="F22" s="2" t="s">
        <v>441</v>
      </c>
      <c r="G22" s="2" t="s">
        <v>55</v>
      </c>
    </row>
    <row r="23" ht="57.6" spans="1:7">
      <c r="A23" s="2" t="s">
        <v>442</v>
      </c>
      <c r="B23" s="2" t="s">
        <v>101</v>
      </c>
      <c r="C23" s="2" t="s">
        <v>100</v>
      </c>
      <c r="D23" s="2" t="s">
        <v>443</v>
      </c>
      <c r="E23" s="2" t="s">
        <v>444</v>
      </c>
      <c r="F23" s="2" t="s">
        <v>445</v>
      </c>
      <c r="G23" s="2" t="s">
        <v>55</v>
      </c>
    </row>
    <row r="24" ht="57.6" spans="1:7">
      <c r="A24" s="2" t="s">
        <v>446</v>
      </c>
      <c r="B24" s="2" t="s">
        <v>103</v>
      </c>
      <c r="C24" s="2" t="s">
        <v>80</v>
      </c>
      <c r="D24" s="2" t="s">
        <v>384</v>
      </c>
      <c r="E24" s="2" t="s">
        <v>447</v>
      </c>
      <c r="F24" s="2" t="s">
        <v>448</v>
      </c>
      <c r="G24" s="2" t="s">
        <v>55</v>
      </c>
    </row>
    <row r="25" ht="57.6" spans="1:7">
      <c r="A25" s="2" t="s">
        <v>449</v>
      </c>
      <c r="B25" s="2" t="s">
        <v>105</v>
      </c>
      <c r="C25" s="2" t="s">
        <v>107</v>
      </c>
      <c r="D25" s="2" t="s">
        <v>384</v>
      </c>
      <c r="E25" s="2" t="s">
        <v>450</v>
      </c>
      <c r="F25" s="2" t="s">
        <v>451</v>
      </c>
      <c r="G25" s="2" t="s">
        <v>55</v>
      </c>
    </row>
    <row r="26" ht="57.6" spans="1:7">
      <c r="A26" s="2" t="s">
        <v>452</v>
      </c>
      <c r="B26" s="2" t="s">
        <v>108</v>
      </c>
      <c r="C26" s="2" t="s">
        <v>100</v>
      </c>
      <c r="D26" s="2" t="s">
        <v>426</v>
      </c>
      <c r="E26" s="2" t="s">
        <v>453</v>
      </c>
      <c r="F26" s="2" t="s">
        <v>454</v>
      </c>
      <c r="G26" s="2" t="s">
        <v>55</v>
      </c>
    </row>
    <row r="27" ht="57.6" spans="1:7">
      <c r="A27" s="2" t="s">
        <v>455</v>
      </c>
      <c r="B27" s="2" t="s">
        <v>110</v>
      </c>
      <c r="C27" s="2" t="s">
        <v>112</v>
      </c>
      <c r="D27" s="2" t="s">
        <v>384</v>
      </c>
      <c r="E27" s="2" t="s">
        <v>456</v>
      </c>
      <c r="F27" s="2" t="s">
        <v>457</v>
      </c>
      <c r="G27" s="2" t="s">
        <v>113</v>
      </c>
    </row>
    <row r="28" ht="57.6" spans="1:7">
      <c r="A28" s="2" t="s">
        <v>458</v>
      </c>
      <c r="B28" s="2" t="s">
        <v>114</v>
      </c>
      <c r="C28" s="2" t="s">
        <v>116</v>
      </c>
      <c r="D28" s="2" t="s">
        <v>439</v>
      </c>
      <c r="E28" s="2" t="s">
        <v>459</v>
      </c>
      <c r="F28" s="2" t="s">
        <v>460</v>
      </c>
      <c r="G28" s="2" t="s">
        <v>55</v>
      </c>
    </row>
    <row r="29" ht="72" spans="1:7">
      <c r="A29" s="2" t="s">
        <v>461</v>
      </c>
      <c r="B29" s="2" t="s">
        <v>117</v>
      </c>
      <c r="C29" s="2" t="s">
        <v>116</v>
      </c>
      <c r="D29" s="2" t="s">
        <v>426</v>
      </c>
      <c r="E29" s="2" t="s">
        <v>462</v>
      </c>
      <c r="F29" s="2" t="s">
        <v>463</v>
      </c>
      <c r="G29" s="2" t="s">
        <v>55</v>
      </c>
    </row>
    <row r="30" ht="86.4" spans="1:7">
      <c r="A30" s="2" t="s">
        <v>464</v>
      </c>
      <c r="B30" s="2" t="s">
        <v>119</v>
      </c>
      <c r="C30" s="2" t="s">
        <v>116</v>
      </c>
      <c r="D30" s="2" t="s">
        <v>400</v>
      </c>
      <c r="E30" s="2" t="s">
        <v>465</v>
      </c>
      <c r="F30" s="2" t="s">
        <v>466</v>
      </c>
      <c r="G30" s="2" t="s">
        <v>113</v>
      </c>
    </row>
    <row r="31" ht="57.6" spans="1:7">
      <c r="A31" s="2" t="s">
        <v>467</v>
      </c>
      <c r="B31" s="2" t="s">
        <v>121</v>
      </c>
      <c r="C31" s="2" t="s">
        <v>116</v>
      </c>
      <c r="D31" s="2" t="s">
        <v>439</v>
      </c>
      <c r="E31" s="2" t="s">
        <v>468</v>
      </c>
      <c r="F31" s="2" t="s">
        <v>469</v>
      </c>
      <c r="G31" s="2" t="s">
        <v>113</v>
      </c>
    </row>
    <row r="32" ht="57.6" spans="1:7">
      <c r="A32" s="2" t="s">
        <v>470</v>
      </c>
      <c r="B32" s="2" t="s">
        <v>123</v>
      </c>
      <c r="C32" s="2" t="s">
        <v>116</v>
      </c>
      <c r="D32" s="2" t="s">
        <v>400</v>
      </c>
      <c r="E32" s="2" t="s">
        <v>471</v>
      </c>
      <c r="F32" s="2" t="s">
        <v>472</v>
      </c>
      <c r="G32" s="2" t="s">
        <v>55</v>
      </c>
    </row>
    <row r="33" ht="57.6" spans="1:7">
      <c r="A33" s="2" t="s">
        <v>473</v>
      </c>
      <c r="B33" s="2" t="s">
        <v>125</v>
      </c>
      <c r="C33" s="2" t="s">
        <v>107</v>
      </c>
      <c r="D33" s="2" t="s">
        <v>384</v>
      </c>
      <c r="E33" s="2" t="s">
        <v>474</v>
      </c>
      <c r="F33" s="2" t="s">
        <v>475</v>
      </c>
      <c r="G33" s="2" t="s">
        <v>55</v>
      </c>
    </row>
    <row r="34" ht="57.6" spans="1:7">
      <c r="A34" s="2" t="s">
        <v>476</v>
      </c>
      <c r="B34" s="2" t="s">
        <v>127</v>
      </c>
      <c r="C34" s="2" t="s">
        <v>107</v>
      </c>
      <c r="D34" s="2" t="s">
        <v>384</v>
      </c>
      <c r="E34" s="2" t="s">
        <v>477</v>
      </c>
      <c r="F34" s="2" t="s">
        <v>478</v>
      </c>
      <c r="G34" s="2" t="s">
        <v>55</v>
      </c>
    </row>
    <row r="35" ht="72" spans="1:7">
      <c r="A35" s="2" t="s">
        <v>479</v>
      </c>
      <c r="B35" s="2" t="s">
        <v>129</v>
      </c>
      <c r="C35" s="2" t="s">
        <v>107</v>
      </c>
      <c r="D35" s="2" t="s">
        <v>384</v>
      </c>
      <c r="E35" s="2" t="s">
        <v>480</v>
      </c>
      <c r="F35" s="2" t="s">
        <v>481</v>
      </c>
      <c r="G35" s="2" t="s">
        <v>55</v>
      </c>
    </row>
    <row r="36" ht="57.6" spans="1:7">
      <c r="A36" s="2" t="s">
        <v>482</v>
      </c>
      <c r="B36" s="2" t="s">
        <v>131</v>
      </c>
      <c r="C36" s="2" t="s">
        <v>107</v>
      </c>
      <c r="D36" s="2" t="s">
        <v>384</v>
      </c>
      <c r="E36" s="2" t="s">
        <v>483</v>
      </c>
      <c r="F36" s="2" t="s">
        <v>484</v>
      </c>
      <c r="G36" s="2" t="s">
        <v>55</v>
      </c>
    </row>
    <row r="37" ht="57.6" spans="1:7">
      <c r="A37" s="2" t="s">
        <v>485</v>
      </c>
      <c r="B37" s="2" t="s">
        <v>133</v>
      </c>
      <c r="C37" s="2" t="s">
        <v>107</v>
      </c>
      <c r="D37" s="2" t="s">
        <v>400</v>
      </c>
      <c r="E37" s="2" t="s">
        <v>486</v>
      </c>
      <c r="F37" s="2" t="s">
        <v>487</v>
      </c>
      <c r="G37" s="2" t="s">
        <v>55</v>
      </c>
    </row>
    <row r="38" ht="57.6" spans="1:7">
      <c r="A38" s="2" t="s">
        <v>488</v>
      </c>
      <c r="B38" s="2" t="s">
        <v>135</v>
      </c>
      <c r="C38" s="2" t="s">
        <v>107</v>
      </c>
      <c r="D38" s="2" t="s">
        <v>384</v>
      </c>
      <c r="E38" s="2" t="s">
        <v>489</v>
      </c>
      <c r="F38" s="2" t="s">
        <v>490</v>
      </c>
      <c r="G38" s="2" t="s">
        <v>55</v>
      </c>
    </row>
    <row r="39" ht="57.6" spans="1:7">
      <c r="A39" s="2" t="s">
        <v>491</v>
      </c>
      <c r="B39" s="2" t="s">
        <v>137</v>
      </c>
      <c r="C39" s="2" t="s">
        <v>107</v>
      </c>
      <c r="D39" s="2" t="s">
        <v>384</v>
      </c>
      <c r="E39" s="2" t="s">
        <v>492</v>
      </c>
      <c r="F39" s="2" t="s">
        <v>493</v>
      </c>
      <c r="G39" s="2" t="s">
        <v>55</v>
      </c>
    </row>
    <row r="40" ht="57.6" spans="1:7">
      <c r="A40" s="2" t="s">
        <v>494</v>
      </c>
      <c r="B40" s="2" t="s">
        <v>139</v>
      </c>
      <c r="C40" s="2" t="s">
        <v>107</v>
      </c>
      <c r="D40" s="2" t="s">
        <v>384</v>
      </c>
      <c r="E40" s="2" t="s">
        <v>495</v>
      </c>
      <c r="F40" s="2" t="s">
        <v>496</v>
      </c>
      <c r="G40" s="2" t="s">
        <v>55</v>
      </c>
    </row>
    <row r="41" ht="57.6" spans="1:7">
      <c r="A41" s="2" t="s">
        <v>497</v>
      </c>
      <c r="B41" s="2" t="s">
        <v>141</v>
      </c>
      <c r="C41" s="2" t="s">
        <v>107</v>
      </c>
      <c r="D41" s="2" t="s">
        <v>384</v>
      </c>
      <c r="E41" s="2" t="s">
        <v>498</v>
      </c>
      <c r="F41" s="2" t="s">
        <v>499</v>
      </c>
      <c r="G41" s="2" t="s">
        <v>55</v>
      </c>
    </row>
    <row r="42" ht="57.6" spans="1:7">
      <c r="A42" s="2" t="s">
        <v>500</v>
      </c>
      <c r="B42" s="2" t="s">
        <v>143</v>
      </c>
      <c r="C42" s="2" t="s">
        <v>107</v>
      </c>
      <c r="D42" s="2" t="s">
        <v>384</v>
      </c>
      <c r="E42" s="2" t="s">
        <v>501</v>
      </c>
      <c r="F42" s="2" t="s">
        <v>502</v>
      </c>
      <c r="G42" s="2" t="s">
        <v>55</v>
      </c>
    </row>
    <row r="43" ht="57.6" spans="1:7">
      <c r="A43" s="2" t="s">
        <v>503</v>
      </c>
      <c r="B43" s="2" t="s">
        <v>145</v>
      </c>
      <c r="C43" s="2" t="s">
        <v>107</v>
      </c>
      <c r="D43" s="2" t="s">
        <v>384</v>
      </c>
      <c r="E43" s="2" t="s">
        <v>504</v>
      </c>
      <c r="F43" s="2" t="s">
        <v>505</v>
      </c>
      <c r="G43" s="2" t="s">
        <v>55</v>
      </c>
    </row>
    <row r="44" ht="57.6" spans="1:7">
      <c r="A44" s="2" t="s">
        <v>506</v>
      </c>
      <c r="B44" s="2" t="s">
        <v>147</v>
      </c>
      <c r="C44" s="2" t="s">
        <v>107</v>
      </c>
      <c r="D44" s="2" t="s">
        <v>384</v>
      </c>
      <c r="E44" s="2" t="s">
        <v>507</v>
      </c>
      <c r="F44" s="2" t="s">
        <v>508</v>
      </c>
      <c r="G44" s="2" t="s">
        <v>55</v>
      </c>
    </row>
    <row r="45" ht="43.2" spans="1:7">
      <c r="A45" s="2" t="s">
        <v>509</v>
      </c>
      <c r="B45" s="2" t="s">
        <v>149</v>
      </c>
      <c r="C45" s="2" t="s">
        <v>107</v>
      </c>
      <c r="D45" s="2" t="s">
        <v>384</v>
      </c>
      <c r="E45" s="2" t="s">
        <v>510</v>
      </c>
      <c r="F45" s="2" t="s">
        <v>511</v>
      </c>
      <c r="G45" s="2" t="s">
        <v>113</v>
      </c>
    </row>
    <row r="46" ht="43.2" spans="1:7">
      <c r="A46" s="2" t="s">
        <v>512</v>
      </c>
      <c r="B46" s="2" t="s">
        <v>151</v>
      </c>
      <c r="C46" s="2" t="s">
        <v>107</v>
      </c>
      <c r="D46" s="2" t="s">
        <v>384</v>
      </c>
      <c r="E46" s="2" t="s">
        <v>513</v>
      </c>
      <c r="F46" s="2" t="s">
        <v>514</v>
      </c>
      <c r="G46" s="2" t="s">
        <v>113</v>
      </c>
    </row>
    <row r="47" ht="72" spans="1:7">
      <c r="A47" s="2" t="s">
        <v>515</v>
      </c>
      <c r="B47" s="2" t="s">
        <v>153</v>
      </c>
      <c r="C47" s="2" t="s">
        <v>155</v>
      </c>
      <c r="D47" s="2" t="s">
        <v>400</v>
      </c>
      <c r="E47" s="2" t="s">
        <v>516</v>
      </c>
      <c r="F47" s="2" t="s">
        <v>517</v>
      </c>
      <c r="G47" s="2" t="s">
        <v>55</v>
      </c>
    </row>
    <row r="48" ht="72" spans="1:7">
      <c r="A48" s="2" t="s">
        <v>518</v>
      </c>
      <c r="B48" s="2" t="s">
        <v>156</v>
      </c>
      <c r="C48" s="2" t="s">
        <v>155</v>
      </c>
      <c r="D48" s="2" t="s">
        <v>400</v>
      </c>
      <c r="E48" s="2" t="s">
        <v>519</v>
      </c>
      <c r="F48" s="2" t="s">
        <v>520</v>
      </c>
      <c r="G48" s="2" t="s">
        <v>55</v>
      </c>
    </row>
    <row r="49" ht="57.6" spans="1:7">
      <c r="A49" s="2" t="s">
        <v>521</v>
      </c>
      <c r="B49" s="2" t="s">
        <v>158</v>
      </c>
      <c r="C49" s="2" t="s">
        <v>155</v>
      </c>
      <c r="D49" s="2" t="s">
        <v>384</v>
      </c>
      <c r="E49" s="2" t="s">
        <v>522</v>
      </c>
      <c r="F49" s="2" t="s">
        <v>523</v>
      </c>
      <c r="G49" s="2" t="s">
        <v>55</v>
      </c>
    </row>
    <row r="50" ht="57.6" spans="1:7">
      <c r="A50" s="2" t="s">
        <v>524</v>
      </c>
      <c r="B50" s="2" t="s">
        <v>160</v>
      </c>
      <c r="C50" s="2" t="s">
        <v>155</v>
      </c>
      <c r="D50" s="2" t="s">
        <v>384</v>
      </c>
      <c r="E50" s="2" t="s">
        <v>525</v>
      </c>
      <c r="F50" s="2" t="s">
        <v>526</v>
      </c>
      <c r="G50" s="2" t="s">
        <v>55</v>
      </c>
    </row>
    <row r="51" ht="43.2" spans="1:7">
      <c r="A51" s="2" t="s">
        <v>527</v>
      </c>
      <c r="B51" s="2" t="s">
        <v>162</v>
      </c>
      <c r="C51" s="2" t="s">
        <v>155</v>
      </c>
      <c r="D51" s="2" t="s">
        <v>384</v>
      </c>
      <c r="E51" s="2" t="s">
        <v>528</v>
      </c>
      <c r="F51" s="2" t="s">
        <v>529</v>
      </c>
      <c r="G51" s="2" t="s">
        <v>55</v>
      </c>
    </row>
    <row r="52" ht="57.6" spans="1:7">
      <c r="A52" s="2" t="s">
        <v>530</v>
      </c>
      <c r="B52" s="2" t="s">
        <v>164</v>
      </c>
      <c r="C52" s="2" t="s">
        <v>155</v>
      </c>
      <c r="D52" s="2" t="s">
        <v>384</v>
      </c>
      <c r="E52" s="2" t="s">
        <v>531</v>
      </c>
      <c r="F52" s="2" t="s">
        <v>532</v>
      </c>
      <c r="G52" s="2" t="s">
        <v>55</v>
      </c>
    </row>
    <row r="53" ht="57.6" spans="1:7">
      <c r="A53" s="2" t="s">
        <v>533</v>
      </c>
      <c r="B53" s="2" t="s">
        <v>166</v>
      </c>
      <c r="C53" s="2" t="s">
        <v>155</v>
      </c>
      <c r="D53" s="2" t="s">
        <v>384</v>
      </c>
      <c r="E53" s="2" t="s">
        <v>534</v>
      </c>
      <c r="F53" s="2" t="s">
        <v>535</v>
      </c>
      <c r="G53" s="2" t="s">
        <v>55</v>
      </c>
    </row>
    <row r="54" ht="57.6" spans="1:7">
      <c r="A54" s="2" t="s">
        <v>536</v>
      </c>
      <c r="B54" s="2" t="s">
        <v>168</v>
      </c>
      <c r="C54" s="2" t="s">
        <v>155</v>
      </c>
      <c r="D54" s="2" t="s">
        <v>426</v>
      </c>
      <c r="E54" s="2" t="s">
        <v>537</v>
      </c>
      <c r="F54" s="2" t="s">
        <v>538</v>
      </c>
      <c r="G54" s="2" t="s">
        <v>55</v>
      </c>
    </row>
    <row r="55" ht="57.6" spans="1:7">
      <c r="A55" s="2" t="s">
        <v>539</v>
      </c>
      <c r="B55" s="2" t="s">
        <v>170</v>
      </c>
      <c r="C55" s="2" t="s">
        <v>155</v>
      </c>
      <c r="D55" s="2" t="s">
        <v>384</v>
      </c>
      <c r="E55" s="2" t="s">
        <v>540</v>
      </c>
      <c r="F55" s="2" t="s">
        <v>541</v>
      </c>
      <c r="G55" s="2" t="s">
        <v>55</v>
      </c>
    </row>
    <row r="56" ht="57.6" spans="1:7">
      <c r="A56" s="2" t="s">
        <v>542</v>
      </c>
      <c r="B56" s="2" t="s">
        <v>172</v>
      </c>
      <c r="C56" s="2" t="s">
        <v>155</v>
      </c>
      <c r="D56" s="2" t="s">
        <v>400</v>
      </c>
      <c r="E56" s="2" t="s">
        <v>543</v>
      </c>
      <c r="F56" s="2" t="s">
        <v>544</v>
      </c>
      <c r="G56" s="2" t="s">
        <v>55</v>
      </c>
    </row>
    <row r="57" ht="57.6" spans="1:7">
      <c r="A57" s="2" t="s">
        <v>545</v>
      </c>
      <c r="B57" s="2" t="s">
        <v>174</v>
      </c>
      <c r="C57" s="2" t="s">
        <v>80</v>
      </c>
      <c r="D57" s="2" t="s">
        <v>416</v>
      </c>
      <c r="E57" s="2" t="s">
        <v>546</v>
      </c>
      <c r="F57" s="2" t="s">
        <v>547</v>
      </c>
      <c r="G57" s="2" t="s">
        <v>55</v>
      </c>
    </row>
    <row r="58" ht="57.6" spans="1:7">
      <c r="A58" s="2" t="s">
        <v>548</v>
      </c>
      <c r="B58" s="2" t="s">
        <v>176</v>
      </c>
      <c r="C58" s="2" t="s">
        <v>178</v>
      </c>
      <c r="D58" s="2" t="s">
        <v>549</v>
      </c>
      <c r="E58" s="2" t="s">
        <v>550</v>
      </c>
      <c r="F58" s="2" t="s">
        <v>551</v>
      </c>
      <c r="G58" s="2" t="s">
        <v>55</v>
      </c>
    </row>
    <row r="59" ht="57.6" spans="1:7">
      <c r="A59" s="2" t="s">
        <v>552</v>
      </c>
      <c r="B59" s="2" t="s">
        <v>179</v>
      </c>
      <c r="C59" s="2" t="s">
        <v>178</v>
      </c>
      <c r="D59" s="2" t="s">
        <v>549</v>
      </c>
      <c r="E59" s="2" t="s">
        <v>553</v>
      </c>
      <c r="F59" s="2" t="s">
        <v>554</v>
      </c>
      <c r="G59" s="2" t="s">
        <v>55</v>
      </c>
    </row>
    <row r="60" ht="72" spans="1:7">
      <c r="A60" s="2" t="s">
        <v>555</v>
      </c>
      <c r="B60" s="2" t="s">
        <v>181</v>
      </c>
      <c r="C60" s="2" t="s">
        <v>178</v>
      </c>
      <c r="D60" s="2" t="s">
        <v>400</v>
      </c>
      <c r="E60" s="2" t="s">
        <v>556</v>
      </c>
      <c r="F60" s="2" t="s">
        <v>557</v>
      </c>
      <c r="G60" s="2" t="s">
        <v>55</v>
      </c>
    </row>
    <row r="61" ht="57.6" spans="1:7">
      <c r="A61" s="2" t="s">
        <v>558</v>
      </c>
      <c r="B61" s="2" t="s">
        <v>183</v>
      </c>
      <c r="C61" s="2" t="s">
        <v>178</v>
      </c>
      <c r="D61" s="2" t="s">
        <v>549</v>
      </c>
      <c r="E61" s="2" t="s">
        <v>559</v>
      </c>
      <c r="F61" s="2" t="s">
        <v>560</v>
      </c>
      <c r="G61" s="2" t="s">
        <v>55</v>
      </c>
    </row>
    <row r="62" ht="43.2" spans="1:7">
      <c r="A62" s="2" t="s">
        <v>561</v>
      </c>
      <c r="B62" s="2" t="s">
        <v>185</v>
      </c>
      <c r="C62" s="2" t="s">
        <v>178</v>
      </c>
      <c r="D62" s="2" t="s">
        <v>549</v>
      </c>
      <c r="E62" s="2" t="s">
        <v>562</v>
      </c>
      <c r="F62" s="2" t="s">
        <v>563</v>
      </c>
      <c r="G62" s="2" t="s">
        <v>55</v>
      </c>
    </row>
    <row r="63" ht="57.6" spans="1:7">
      <c r="A63" s="2" t="s">
        <v>564</v>
      </c>
      <c r="B63" s="2" t="s">
        <v>187</v>
      </c>
      <c r="C63" s="2" t="s">
        <v>178</v>
      </c>
      <c r="D63" s="2" t="s">
        <v>400</v>
      </c>
      <c r="E63" s="2" t="s">
        <v>565</v>
      </c>
      <c r="F63" s="2" t="s">
        <v>566</v>
      </c>
      <c r="G63" s="2" t="s">
        <v>55</v>
      </c>
    </row>
    <row r="64" ht="43.2" spans="1:7">
      <c r="A64" s="2" t="s">
        <v>567</v>
      </c>
      <c r="B64" s="2" t="s">
        <v>189</v>
      </c>
      <c r="C64" s="2" t="s">
        <v>178</v>
      </c>
      <c r="D64" s="2" t="s">
        <v>384</v>
      </c>
      <c r="E64" s="2" t="s">
        <v>568</v>
      </c>
      <c r="F64" s="2" t="s">
        <v>569</v>
      </c>
      <c r="G64" s="2" t="s">
        <v>55</v>
      </c>
    </row>
    <row r="65" ht="57.6" spans="1:7">
      <c r="A65" s="2" t="s">
        <v>570</v>
      </c>
      <c r="B65" s="2" t="s">
        <v>191</v>
      </c>
      <c r="C65" s="2" t="s">
        <v>178</v>
      </c>
      <c r="D65" s="2" t="s">
        <v>400</v>
      </c>
      <c r="E65" s="2" t="s">
        <v>571</v>
      </c>
      <c r="F65" s="2" t="s">
        <v>572</v>
      </c>
      <c r="G65" s="2" t="s">
        <v>55</v>
      </c>
    </row>
    <row r="66" ht="43.2" spans="1:7">
      <c r="A66" s="2" t="s">
        <v>573</v>
      </c>
      <c r="B66" s="2" t="s">
        <v>193</v>
      </c>
      <c r="C66" s="2" t="s">
        <v>178</v>
      </c>
      <c r="D66" s="2" t="s">
        <v>549</v>
      </c>
      <c r="E66" s="2" t="s">
        <v>574</v>
      </c>
      <c r="F66" s="2" t="s">
        <v>575</v>
      </c>
      <c r="G66" s="2" t="s">
        <v>55</v>
      </c>
    </row>
    <row r="67" ht="57.6" spans="1:7">
      <c r="A67" s="2" t="s">
        <v>576</v>
      </c>
      <c r="B67" s="2" t="s">
        <v>195</v>
      </c>
      <c r="C67" s="2" t="s">
        <v>178</v>
      </c>
      <c r="D67" s="2" t="s">
        <v>400</v>
      </c>
      <c r="E67" s="2" t="s">
        <v>577</v>
      </c>
      <c r="F67" s="2" t="s">
        <v>578</v>
      </c>
      <c r="G67" s="2" t="s">
        <v>55</v>
      </c>
    </row>
    <row r="68" ht="57.6" spans="1:7">
      <c r="A68" s="2" t="s">
        <v>579</v>
      </c>
      <c r="B68" s="2" t="s">
        <v>197</v>
      </c>
      <c r="C68" s="2" t="s">
        <v>178</v>
      </c>
      <c r="D68" s="2" t="s">
        <v>400</v>
      </c>
      <c r="E68" s="2" t="s">
        <v>580</v>
      </c>
      <c r="F68" s="2" t="s">
        <v>581</v>
      </c>
      <c r="G68" s="2" t="s">
        <v>113</v>
      </c>
    </row>
    <row r="69" ht="57.6" spans="1:7">
      <c r="A69" s="2" t="s">
        <v>582</v>
      </c>
      <c r="B69" s="2" t="s">
        <v>199</v>
      </c>
      <c r="C69" s="2" t="s">
        <v>178</v>
      </c>
      <c r="D69" s="2" t="s">
        <v>549</v>
      </c>
      <c r="E69" s="2" t="s">
        <v>583</v>
      </c>
      <c r="F69" s="2" t="s">
        <v>584</v>
      </c>
      <c r="G69" s="2" t="s">
        <v>201</v>
      </c>
    </row>
    <row r="70" ht="57.6" spans="1:7">
      <c r="A70" s="2" t="s">
        <v>585</v>
      </c>
      <c r="B70" s="2" t="s">
        <v>202</v>
      </c>
      <c r="C70" s="2" t="s">
        <v>178</v>
      </c>
      <c r="D70" s="2" t="s">
        <v>549</v>
      </c>
      <c r="E70" s="2" t="s">
        <v>586</v>
      </c>
      <c r="F70" s="2" t="s">
        <v>587</v>
      </c>
      <c r="G70" s="2" t="s">
        <v>55</v>
      </c>
    </row>
    <row r="71" ht="86.4" spans="1:7">
      <c r="A71" s="2" t="s">
        <v>588</v>
      </c>
      <c r="B71" s="2" t="s">
        <v>204</v>
      </c>
      <c r="C71" s="2" t="s">
        <v>178</v>
      </c>
      <c r="D71" s="2" t="s">
        <v>549</v>
      </c>
      <c r="E71" s="2" t="s">
        <v>589</v>
      </c>
      <c r="F71" s="2" t="s">
        <v>590</v>
      </c>
      <c r="G71" s="2" t="s">
        <v>55</v>
      </c>
    </row>
    <row r="72" ht="72" spans="1:7">
      <c r="A72" s="2" t="s">
        <v>591</v>
      </c>
      <c r="B72" s="2" t="s">
        <v>206</v>
      </c>
      <c r="C72" s="2" t="s">
        <v>178</v>
      </c>
      <c r="D72" s="2" t="s">
        <v>549</v>
      </c>
      <c r="E72" s="2" t="s">
        <v>592</v>
      </c>
      <c r="F72" s="2" t="s">
        <v>593</v>
      </c>
      <c r="G72" s="2" t="s">
        <v>55</v>
      </c>
    </row>
    <row r="73" ht="43.2" spans="1:7">
      <c r="A73" s="2" t="s">
        <v>594</v>
      </c>
      <c r="B73" s="2" t="s">
        <v>208</v>
      </c>
      <c r="C73" s="2" t="s">
        <v>178</v>
      </c>
      <c r="D73" s="2" t="s">
        <v>549</v>
      </c>
      <c r="E73" s="2" t="s">
        <v>595</v>
      </c>
      <c r="F73" s="2" t="s">
        <v>596</v>
      </c>
      <c r="G73" s="2" t="s">
        <v>55</v>
      </c>
    </row>
    <row r="74" ht="57.6" spans="1:7">
      <c r="A74" s="2" t="s">
        <v>597</v>
      </c>
      <c r="B74" s="2" t="s">
        <v>210</v>
      </c>
      <c r="C74" s="2" t="s">
        <v>178</v>
      </c>
      <c r="D74" s="2" t="s">
        <v>400</v>
      </c>
      <c r="E74" s="2" t="s">
        <v>598</v>
      </c>
      <c r="F74" s="2" t="s">
        <v>599</v>
      </c>
      <c r="G74" s="2" t="s">
        <v>55</v>
      </c>
    </row>
    <row r="75" ht="57.6" spans="1:7">
      <c r="A75" s="2" t="s">
        <v>600</v>
      </c>
      <c r="B75" s="2" t="s">
        <v>212</v>
      </c>
      <c r="C75" s="2" t="s">
        <v>178</v>
      </c>
      <c r="D75" s="2" t="s">
        <v>549</v>
      </c>
      <c r="E75" s="2" t="s">
        <v>601</v>
      </c>
      <c r="F75" s="2" t="s">
        <v>602</v>
      </c>
      <c r="G75" s="2" t="s">
        <v>55</v>
      </c>
    </row>
    <row r="76" ht="43.2" spans="1:7">
      <c r="A76" s="2" t="s">
        <v>603</v>
      </c>
      <c r="B76" s="2" t="s">
        <v>214</v>
      </c>
      <c r="C76" s="2" t="s">
        <v>178</v>
      </c>
      <c r="D76" s="2" t="s">
        <v>384</v>
      </c>
      <c r="E76" s="2" t="s">
        <v>604</v>
      </c>
      <c r="F76" s="2" t="s">
        <v>605</v>
      </c>
      <c r="G76" s="2" t="s">
        <v>55</v>
      </c>
    </row>
    <row r="77" ht="57.6" spans="1:7">
      <c r="A77" s="2" t="s">
        <v>606</v>
      </c>
      <c r="B77" s="2" t="s">
        <v>216</v>
      </c>
      <c r="C77" s="2" t="s">
        <v>178</v>
      </c>
      <c r="D77" s="2" t="s">
        <v>400</v>
      </c>
      <c r="E77" s="2" t="s">
        <v>607</v>
      </c>
      <c r="F77" s="2" t="s">
        <v>608</v>
      </c>
      <c r="G77" s="2" t="s">
        <v>55</v>
      </c>
    </row>
    <row r="78" ht="57.6" spans="1:7">
      <c r="A78" s="2" t="s">
        <v>609</v>
      </c>
      <c r="B78" s="2" t="s">
        <v>218</v>
      </c>
      <c r="C78" s="2" t="s">
        <v>178</v>
      </c>
      <c r="D78" s="2" t="s">
        <v>400</v>
      </c>
      <c r="E78" s="2" t="s">
        <v>610</v>
      </c>
      <c r="F78" s="2" t="s">
        <v>611</v>
      </c>
      <c r="G78" s="2" t="s">
        <v>55</v>
      </c>
    </row>
    <row r="79" ht="57.6" spans="1:7">
      <c r="A79" s="2" t="s">
        <v>612</v>
      </c>
      <c r="B79" s="2" t="s">
        <v>220</v>
      </c>
      <c r="C79" s="2" t="s">
        <v>178</v>
      </c>
      <c r="D79" s="2" t="s">
        <v>400</v>
      </c>
      <c r="E79" s="2" t="s">
        <v>613</v>
      </c>
      <c r="F79" s="2" t="s">
        <v>614</v>
      </c>
      <c r="G79" s="2" t="s">
        <v>55</v>
      </c>
    </row>
    <row r="80" ht="57.6" spans="1:7">
      <c r="A80" s="2" t="s">
        <v>615</v>
      </c>
      <c r="B80" s="2" t="s">
        <v>222</v>
      </c>
      <c r="C80" s="2" t="s">
        <v>178</v>
      </c>
      <c r="D80" s="2" t="s">
        <v>400</v>
      </c>
      <c r="E80" s="2" t="s">
        <v>616</v>
      </c>
      <c r="F80" s="2" t="s">
        <v>617</v>
      </c>
      <c r="G80" s="2" t="s">
        <v>113</v>
      </c>
    </row>
    <row r="81" ht="57.6" spans="1:7">
      <c r="A81" s="2" t="s">
        <v>618</v>
      </c>
      <c r="B81" s="2" t="s">
        <v>224</v>
      </c>
      <c r="C81" s="2" t="s">
        <v>178</v>
      </c>
      <c r="D81" s="2" t="s">
        <v>400</v>
      </c>
      <c r="E81" s="2" t="s">
        <v>619</v>
      </c>
      <c r="F81" s="2" t="s">
        <v>620</v>
      </c>
      <c r="G81" s="2" t="s">
        <v>55</v>
      </c>
    </row>
    <row r="82" ht="57.6" spans="1:7">
      <c r="A82" s="2" t="s">
        <v>621</v>
      </c>
      <c r="B82" s="2" t="s">
        <v>226</v>
      </c>
      <c r="C82" s="2" t="s">
        <v>178</v>
      </c>
      <c r="D82" s="2" t="s">
        <v>400</v>
      </c>
      <c r="E82" s="2" t="s">
        <v>622</v>
      </c>
      <c r="F82" s="2" t="s">
        <v>623</v>
      </c>
      <c r="G82" s="2" t="s">
        <v>55</v>
      </c>
    </row>
    <row r="83" ht="57.6" spans="1:7">
      <c r="A83" s="2" t="s">
        <v>624</v>
      </c>
      <c r="B83" s="2" t="s">
        <v>228</v>
      </c>
      <c r="C83" s="2" t="s">
        <v>230</v>
      </c>
      <c r="D83" s="2" t="s">
        <v>549</v>
      </c>
      <c r="E83" s="2" t="s">
        <v>625</v>
      </c>
      <c r="F83" s="2" t="s">
        <v>626</v>
      </c>
      <c r="G83" s="2" t="s">
        <v>55</v>
      </c>
    </row>
    <row r="84" ht="72" spans="1:7">
      <c r="A84" s="2" t="s">
        <v>627</v>
      </c>
      <c r="B84" s="2" t="s">
        <v>231</v>
      </c>
      <c r="C84" s="2" t="s">
        <v>230</v>
      </c>
      <c r="D84" s="2" t="s">
        <v>549</v>
      </c>
      <c r="E84" s="2" t="s">
        <v>628</v>
      </c>
      <c r="F84" s="2" t="s">
        <v>629</v>
      </c>
      <c r="G84" s="2" t="s">
        <v>55</v>
      </c>
    </row>
    <row r="85" ht="72" spans="1:7">
      <c r="A85" s="2" t="s">
        <v>630</v>
      </c>
      <c r="B85" s="2" t="s">
        <v>233</v>
      </c>
      <c r="C85" s="2" t="s">
        <v>230</v>
      </c>
      <c r="D85" s="2" t="s">
        <v>384</v>
      </c>
      <c r="E85" s="2" t="s">
        <v>631</v>
      </c>
      <c r="F85" s="2" t="s">
        <v>632</v>
      </c>
      <c r="G85" s="2" t="s">
        <v>55</v>
      </c>
    </row>
    <row r="86" ht="57.6" spans="1:7">
      <c r="A86" s="2" t="s">
        <v>633</v>
      </c>
      <c r="B86" s="2" t="s">
        <v>235</v>
      </c>
      <c r="C86" s="2" t="s">
        <v>230</v>
      </c>
      <c r="D86" s="2" t="s">
        <v>549</v>
      </c>
      <c r="E86" s="2" t="s">
        <v>634</v>
      </c>
      <c r="F86" s="2" t="s">
        <v>635</v>
      </c>
      <c r="G86" s="2" t="s">
        <v>55</v>
      </c>
    </row>
    <row r="87" ht="43.2" spans="1:7">
      <c r="A87" s="2" t="s">
        <v>636</v>
      </c>
      <c r="B87" s="2" t="s">
        <v>237</v>
      </c>
      <c r="C87" s="2" t="s">
        <v>230</v>
      </c>
      <c r="D87" s="2" t="s">
        <v>384</v>
      </c>
      <c r="E87" s="2" t="s">
        <v>637</v>
      </c>
      <c r="F87" s="2" t="s">
        <v>638</v>
      </c>
      <c r="G87" s="2" t="s">
        <v>113</v>
      </c>
    </row>
    <row r="88" ht="72" spans="1:7">
      <c r="A88" s="2" t="s">
        <v>639</v>
      </c>
      <c r="B88" s="2" t="s">
        <v>239</v>
      </c>
      <c r="C88" s="2" t="s">
        <v>230</v>
      </c>
      <c r="D88" s="2" t="s">
        <v>549</v>
      </c>
      <c r="E88" s="2" t="s">
        <v>640</v>
      </c>
      <c r="F88" s="2" t="s">
        <v>641</v>
      </c>
      <c r="G88" s="2" t="s">
        <v>241</v>
      </c>
    </row>
    <row r="89" ht="57.6" spans="1:7">
      <c r="A89" s="2" t="s">
        <v>642</v>
      </c>
      <c r="B89" s="2" t="s">
        <v>242</v>
      </c>
      <c r="C89" s="2" t="s">
        <v>244</v>
      </c>
      <c r="D89" s="2" t="s">
        <v>384</v>
      </c>
      <c r="E89" s="2" t="s">
        <v>643</v>
      </c>
      <c r="F89" s="2" t="s">
        <v>644</v>
      </c>
      <c r="G89" s="2" t="s">
        <v>55</v>
      </c>
    </row>
    <row r="90" ht="43.2" spans="1:7">
      <c r="A90" s="2" t="s">
        <v>645</v>
      </c>
      <c r="B90" s="2" t="s">
        <v>245</v>
      </c>
      <c r="C90" s="2" t="s">
        <v>244</v>
      </c>
      <c r="D90" s="2" t="s">
        <v>384</v>
      </c>
      <c r="E90" s="2" t="s">
        <v>646</v>
      </c>
      <c r="F90" s="2" t="s">
        <v>647</v>
      </c>
      <c r="G90" s="2" t="s">
        <v>55</v>
      </c>
    </row>
    <row r="91" ht="57.6" spans="1:7">
      <c r="A91" s="2" t="s">
        <v>648</v>
      </c>
      <c r="B91" s="2" t="s">
        <v>247</v>
      </c>
      <c r="C91" s="2" t="s">
        <v>244</v>
      </c>
      <c r="D91" s="2" t="s">
        <v>400</v>
      </c>
      <c r="E91" s="2" t="s">
        <v>649</v>
      </c>
      <c r="F91" s="2" t="s">
        <v>650</v>
      </c>
      <c r="G91" s="2" t="s">
        <v>113</v>
      </c>
    </row>
    <row r="92" ht="43.2" spans="1:7">
      <c r="A92" s="2" t="s">
        <v>651</v>
      </c>
      <c r="B92" s="2" t="s">
        <v>249</v>
      </c>
      <c r="C92" s="2" t="s">
        <v>244</v>
      </c>
      <c r="D92" s="2" t="s">
        <v>400</v>
      </c>
      <c r="E92" s="2" t="s">
        <v>652</v>
      </c>
      <c r="F92" s="2" t="s">
        <v>653</v>
      </c>
      <c r="G92" s="2" t="s">
        <v>55</v>
      </c>
    </row>
    <row r="93" ht="57.6" spans="1:7">
      <c r="A93" s="2" t="s">
        <v>654</v>
      </c>
      <c r="B93" s="2" t="s">
        <v>251</v>
      </c>
      <c r="C93" s="2" t="s">
        <v>244</v>
      </c>
      <c r="D93" s="2" t="s">
        <v>655</v>
      </c>
      <c r="E93" s="2" t="s">
        <v>656</v>
      </c>
      <c r="F93" s="2" t="s">
        <v>657</v>
      </c>
      <c r="G93" s="2" t="s">
        <v>113</v>
      </c>
    </row>
    <row r="94" ht="43.2" spans="1:7">
      <c r="A94" s="2" t="s">
        <v>658</v>
      </c>
      <c r="B94" s="2" t="s">
        <v>253</v>
      </c>
      <c r="C94" s="2" t="s">
        <v>244</v>
      </c>
      <c r="D94" s="2" t="s">
        <v>400</v>
      </c>
      <c r="E94" s="2" t="s">
        <v>659</v>
      </c>
      <c r="F94" s="2" t="s">
        <v>660</v>
      </c>
      <c r="G94" s="2" t="s">
        <v>55</v>
      </c>
    </row>
    <row r="95" ht="43.2" spans="1:7">
      <c r="A95" s="2" t="s">
        <v>661</v>
      </c>
      <c r="B95" s="2" t="s">
        <v>255</v>
      </c>
      <c r="C95" s="2" t="s">
        <v>244</v>
      </c>
      <c r="D95" s="2" t="s">
        <v>549</v>
      </c>
      <c r="E95" s="2" t="s">
        <v>662</v>
      </c>
      <c r="F95" s="2" t="s">
        <v>663</v>
      </c>
      <c r="G95" s="2" t="s">
        <v>55</v>
      </c>
    </row>
    <row r="96" ht="57.6" spans="1:7">
      <c r="A96" s="2" t="s">
        <v>664</v>
      </c>
      <c r="B96" s="2" t="s">
        <v>257</v>
      </c>
      <c r="C96" s="2" t="s">
        <v>259</v>
      </c>
      <c r="D96" s="2" t="s">
        <v>549</v>
      </c>
      <c r="E96" s="2" t="s">
        <v>665</v>
      </c>
      <c r="F96" s="2" t="s">
        <v>666</v>
      </c>
      <c r="G96" s="2" t="s">
        <v>55</v>
      </c>
    </row>
    <row r="97" ht="43.2" spans="1:7">
      <c r="A97" s="2" t="s">
        <v>667</v>
      </c>
      <c r="B97" s="2" t="s">
        <v>260</v>
      </c>
      <c r="C97" s="2" t="s">
        <v>259</v>
      </c>
      <c r="D97" s="2" t="s">
        <v>549</v>
      </c>
      <c r="E97" s="2" t="s">
        <v>668</v>
      </c>
      <c r="F97" s="2" t="s">
        <v>669</v>
      </c>
      <c r="G97" s="2" t="s">
        <v>55</v>
      </c>
    </row>
    <row r="98" ht="57.6" spans="1:7">
      <c r="A98" s="2" t="s">
        <v>670</v>
      </c>
      <c r="B98" s="2" t="s">
        <v>262</v>
      </c>
      <c r="C98" s="2" t="s">
        <v>259</v>
      </c>
      <c r="D98" s="2" t="s">
        <v>549</v>
      </c>
      <c r="E98" s="2" t="s">
        <v>671</v>
      </c>
      <c r="F98" s="2" t="s">
        <v>672</v>
      </c>
      <c r="G98" s="2" t="s">
        <v>55</v>
      </c>
    </row>
    <row r="99" ht="57.6" spans="1:7">
      <c r="A99" s="2" t="s">
        <v>673</v>
      </c>
      <c r="B99" s="2" t="s">
        <v>264</v>
      </c>
      <c r="C99" s="2" t="s">
        <v>259</v>
      </c>
      <c r="D99" s="2" t="s">
        <v>400</v>
      </c>
      <c r="E99" s="2" t="s">
        <v>674</v>
      </c>
      <c r="F99" s="2" t="s">
        <v>675</v>
      </c>
      <c r="G99" s="2" t="s">
        <v>55</v>
      </c>
    </row>
    <row r="100" ht="43.2" spans="1:7">
      <c r="A100" s="2" t="s">
        <v>676</v>
      </c>
      <c r="B100" s="2" t="s">
        <v>266</v>
      </c>
      <c r="C100" s="2" t="s">
        <v>259</v>
      </c>
      <c r="D100" s="2" t="s">
        <v>384</v>
      </c>
      <c r="E100" s="2" t="s">
        <v>677</v>
      </c>
      <c r="F100" s="2" t="s">
        <v>678</v>
      </c>
      <c r="G100" s="2" t="s">
        <v>55</v>
      </c>
    </row>
    <row r="101" ht="57.6" spans="1:7">
      <c r="A101" s="2" t="s">
        <v>679</v>
      </c>
      <c r="B101" s="2" t="s">
        <v>268</v>
      </c>
      <c r="C101" s="2" t="s">
        <v>259</v>
      </c>
      <c r="D101" s="2" t="s">
        <v>384</v>
      </c>
      <c r="E101" s="2" t="s">
        <v>680</v>
      </c>
      <c r="F101" s="2" t="s">
        <v>681</v>
      </c>
      <c r="G101" s="2" t="s">
        <v>55</v>
      </c>
    </row>
    <row r="102" ht="57.6" spans="1:7">
      <c r="A102" s="2" t="s">
        <v>682</v>
      </c>
      <c r="B102" s="2" t="s">
        <v>270</v>
      </c>
      <c r="C102" s="2" t="s">
        <v>259</v>
      </c>
      <c r="D102" s="2" t="s">
        <v>400</v>
      </c>
      <c r="E102" s="2" t="s">
        <v>683</v>
      </c>
      <c r="F102" s="2" t="s">
        <v>684</v>
      </c>
      <c r="G102" s="2" t="s">
        <v>55</v>
      </c>
    </row>
    <row r="103" ht="57.6" spans="1:7">
      <c r="A103" s="2" t="s">
        <v>685</v>
      </c>
      <c r="B103" s="2" t="s">
        <v>272</v>
      </c>
      <c r="C103" s="2" t="s">
        <v>259</v>
      </c>
      <c r="D103" s="2" t="s">
        <v>400</v>
      </c>
      <c r="E103" s="2" t="s">
        <v>686</v>
      </c>
      <c r="F103" s="2" t="s">
        <v>687</v>
      </c>
      <c r="G103" s="2" t="s">
        <v>55</v>
      </c>
    </row>
    <row r="104" ht="43.2" spans="1:7">
      <c r="A104" s="2" t="s">
        <v>688</v>
      </c>
      <c r="B104" s="2" t="s">
        <v>274</v>
      </c>
      <c r="C104" s="2" t="s">
        <v>259</v>
      </c>
      <c r="D104" s="2" t="s">
        <v>549</v>
      </c>
      <c r="E104" s="2" t="s">
        <v>689</v>
      </c>
      <c r="F104" s="2" t="s">
        <v>690</v>
      </c>
      <c r="G104" s="2" t="s">
        <v>113</v>
      </c>
    </row>
    <row r="105" ht="57.6" spans="1:7">
      <c r="A105" s="2" t="s">
        <v>691</v>
      </c>
      <c r="B105" s="2" t="s">
        <v>276</v>
      </c>
      <c r="C105" s="2" t="s">
        <v>259</v>
      </c>
      <c r="D105" s="2" t="s">
        <v>400</v>
      </c>
      <c r="E105" s="2" t="s">
        <v>692</v>
      </c>
      <c r="F105" s="2" t="s">
        <v>693</v>
      </c>
      <c r="G105" s="2" t="s">
        <v>55</v>
      </c>
    </row>
    <row r="106" ht="57.6" spans="1:7">
      <c r="A106" s="2" t="s">
        <v>694</v>
      </c>
      <c r="B106" s="2" t="s">
        <v>278</v>
      </c>
      <c r="C106" s="2" t="s">
        <v>259</v>
      </c>
      <c r="D106" s="2" t="s">
        <v>549</v>
      </c>
      <c r="E106" s="2" t="s">
        <v>695</v>
      </c>
      <c r="F106" s="2" t="s">
        <v>696</v>
      </c>
      <c r="G106" s="2" t="s">
        <v>113</v>
      </c>
    </row>
    <row r="107" ht="57.6" spans="1:7">
      <c r="A107" s="2" t="s">
        <v>697</v>
      </c>
      <c r="B107" s="2" t="s">
        <v>280</v>
      </c>
      <c r="C107" s="2" t="s">
        <v>259</v>
      </c>
      <c r="D107" s="2" t="s">
        <v>400</v>
      </c>
      <c r="E107" s="2" t="s">
        <v>698</v>
      </c>
      <c r="F107" s="2" t="s">
        <v>699</v>
      </c>
      <c r="G107" s="2" t="s">
        <v>55</v>
      </c>
    </row>
    <row r="108" ht="72" spans="1:7">
      <c r="A108" s="2" t="s">
        <v>700</v>
      </c>
      <c r="B108" s="2" t="s">
        <v>282</v>
      </c>
      <c r="C108" s="2" t="s">
        <v>284</v>
      </c>
      <c r="D108" s="2" t="s">
        <v>400</v>
      </c>
      <c r="E108" s="2" t="s">
        <v>701</v>
      </c>
      <c r="F108" s="2" t="s">
        <v>702</v>
      </c>
      <c r="G108" s="2" t="s">
        <v>201</v>
      </c>
    </row>
    <row r="109" ht="57.6" spans="1:7">
      <c r="A109" s="2" t="s">
        <v>703</v>
      </c>
      <c r="B109" s="2" t="s">
        <v>285</v>
      </c>
      <c r="C109" s="2" t="s">
        <v>284</v>
      </c>
      <c r="D109" s="2" t="s">
        <v>384</v>
      </c>
      <c r="E109" s="2" t="s">
        <v>704</v>
      </c>
      <c r="F109" s="2" t="s">
        <v>705</v>
      </c>
      <c r="G109" s="2" t="s">
        <v>201</v>
      </c>
    </row>
    <row r="110" ht="72" spans="1:7">
      <c r="A110" s="2" t="s">
        <v>706</v>
      </c>
      <c r="B110" s="2" t="s">
        <v>287</v>
      </c>
      <c r="C110" s="2" t="s">
        <v>284</v>
      </c>
      <c r="D110" s="2" t="s">
        <v>400</v>
      </c>
      <c r="E110" s="2" t="s">
        <v>707</v>
      </c>
      <c r="F110" s="2" t="s">
        <v>708</v>
      </c>
      <c r="G110" s="2" t="s">
        <v>201</v>
      </c>
    </row>
    <row r="111" ht="57.6" spans="1:7">
      <c r="A111" s="2" t="s">
        <v>709</v>
      </c>
      <c r="B111" s="2" t="s">
        <v>289</v>
      </c>
      <c r="C111" s="2" t="s">
        <v>284</v>
      </c>
      <c r="D111" s="2" t="s">
        <v>400</v>
      </c>
      <c r="E111" s="2" t="s">
        <v>710</v>
      </c>
      <c r="F111" s="2" t="s">
        <v>711</v>
      </c>
      <c r="G111" s="2" t="s">
        <v>201</v>
      </c>
    </row>
    <row r="112" ht="72" spans="1:7">
      <c r="A112" s="2" t="s">
        <v>712</v>
      </c>
      <c r="B112" s="2" t="s">
        <v>291</v>
      </c>
      <c r="C112" s="2" t="s">
        <v>284</v>
      </c>
      <c r="D112" s="2" t="s">
        <v>655</v>
      </c>
      <c r="E112" s="2" t="s">
        <v>713</v>
      </c>
      <c r="F112" s="2" t="s">
        <v>714</v>
      </c>
      <c r="G112" s="2" t="s">
        <v>201</v>
      </c>
    </row>
    <row r="113" ht="57.6" spans="1:7">
      <c r="A113" s="2" t="s">
        <v>715</v>
      </c>
      <c r="B113" s="2" t="s">
        <v>293</v>
      </c>
      <c r="C113" s="2" t="s">
        <v>284</v>
      </c>
      <c r="D113" s="2" t="s">
        <v>549</v>
      </c>
      <c r="E113" s="2" t="s">
        <v>716</v>
      </c>
      <c r="F113" s="2" t="s">
        <v>717</v>
      </c>
      <c r="G113" s="2" t="s">
        <v>201</v>
      </c>
    </row>
    <row r="114" ht="72" spans="1:7">
      <c r="A114" s="2" t="s">
        <v>718</v>
      </c>
      <c r="B114" s="2" t="s">
        <v>295</v>
      </c>
      <c r="C114" s="2" t="s">
        <v>91</v>
      </c>
      <c r="D114" s="2" t="s">
        <v>426</v>
      </c>
      <c r="E114" s="2" t="s">
        <v>719</v>
      </c>
      <c r="F114" s="2" t="s">
        <v>720</v>
      </c>
      <c r="G114" s="2" t="s">
        <v>55</v>
      </c>
    </row>
    <row r="115" ht="57.6" spans="1:7">
      <c r="A115" s="2" t="s">
        <v>721</v>
      </c>
      <c r="B115" s="2" t="s">
        <v>297</v>
      </c>
      <c r="C115" s="2" t="s">
        <v>91</v>
      </c>
      <c r="D115" s="2" t="s">
        <v>426</v>
      </c>
      <c r="E115" s="2" t="s">
        <v>722</v>
      </c>
      <c r="F115" s="2" t="s">
        <v>723</v>
      </c>
      <c r="G115" s="2" t="s">
        <v>55</v>
      </c>
    </row>
    <row r="116" ht="57.6" spans="1:7">
      <c r="A116" s="2" t="s">
        <v>724</v>
      </c>
      <c r="B116" s="2" t="s">
        <v>299</v>
      </c>
      <c r="C116" s="2" t="s">
        <v>91</v>
      </c>
      <c r="D116" s="2" t="s">
        <v>426</v>
      </c>
      <c r="E116" s="2" t="s">
        <v>725</v>
      </c>
      <c r="F116" s="2" t="s">
        <v>726</v>
      </c>
      <c r="G116" s="2" t="s">
        <v>55</v>
      </c>
    </row>
    <row r="117" ht="43.2" spans="1:7">
      <c r="A117" s="2" t="s">
        <v>727</v>
      </c>
      <c r="B117" s="2" t="s">
        <v>301</v>
      </c>
      <c r="C117" s="2" t="s">
        <v>303</v>
      </c>
      <c r="D117" s="2" t="s">
        <v>384</v>
      </c>
      <c r="E117" s="2" t="s">
        <v>728</v>
      </c>
      <c r="F117" s="2" t="s">
        <v>729</v>
      </c>
      <c r="G117" s="2" t="s">
        <v>55</v>
      </c>
    </row>
    <row r="118" ht="57.6" spans="1:7">
      <c r="A118" s="2" t="s">
        <v>730</v>
      </c>
      <c r="B118" s="2" t="s">
        <v>304</v>
      </c>
      <c r="C118" s="2" t="s">
        <v>303</v>
      </c>
      <c r="D118" s="2" t="s">
        <v>374</v>
      </c>
      <c r="E118" s="2" t="s">
        <v>731</v>
      </c>
      <c r="F118" s="2" t="s">
        <v>732</v>
      </c>
      <c r="G118" s="2" t="s">
        <v>55</v>
      </c>
    </row>
    <row r="119" ht="43.2" spans="1:7">
      <c r="A119" s="2" t="s">
        <v>733</v>
      </c>
      <c r="B119" s="2" t="s">
        <v>306</v>
      </c>
      <c r="C119" s="2" t="s">
        <v>303</v>
      </c>
      <c r="D119" s="2" t="s">
        <v>384</v>
      </c>
      <c r="E119" s="2" t="s">
        <v>734</v>
      </c>
      <c r="F119" s="2" t="s">
        <v>735</v>
      </c>
      <c r="G119" s="2" t="s">
        <v>55</v>
      </c>
    </row>
    <row r="120" ht="57.6" spans="1:7">
      <c r="A120" s="2" t="s">
        <v>736</v>
      </c>
      <c r="B120" s="2" t="s">
        <v>308</v>
      </c>
      <c r="C120" s="2" t="s">
        <v>303</v>
      </c>
      <c r="D120" s="2" t="s">
        <v>374</v>
      </c>
      <c r="E120" s="2" t="s">
        <v>737</v>
      </c>
      <c r="F120" s="2" t="s">
        <v>738</v>
      </c>
      <c r="G120" s="2" t="s">
        <v>55</v>
      </c>
    </row>
    <row r="121" ht="43.2" spans="1:7">
      <c r="A121" s="2" t="s">
        <v>739</v>
      </c>
      <c r="B121" s="2" t="s">
        <v>310</v>
      </c>
      <c r="C121" s="2" t="s">
        <v>303</v>
      </c>
      <c r="D121" s="2" t="s">
        <v>384</v>
      </c>
      <c r="E121" s="2" t="s">
        <v>740</v>
      </c>
      <c r="F121" s="2" t="s">
        <v>741</v>
      </c>
      <c r="G121" s="2" t="s">
        <v>55</v>
      </c>
    </row>
    <row r="122" ht="43.2" spans="1:7">
      <c r="A122" s="2" t="s">
        <v>742</v>
      </c>
      <c r="B122" s="2" t="s">
        <v>312</v>
      </c>
      <c r="C122" s="2" t="s">
        <v>303</v>
      </c>
      <c r="D122" s="2" t="s">
        <v>384</v>
      </c>
      <c r="E122" s="2" t="s">
        <v>743</v>
      </c>
      <c r="F122" s="2" t="s">
        <v>744</v>
      </c>
      <c r="G122" s="2" t="s">
        <v>55</v>
      </c>
    </row>
    <row r="123" ht="57.6" spans="1:7">
      <c r="A123" s="2" t="s">
        <v>745</v>
      </c>
      <c r="B123" s="2" t="s">
        <v>314</v>
      </c>
      <c r="C123" s="2" t="s">
        <v>303</v>
      </c>
      <c r="D123" s="2" t="s">
        <v>384</v>
      </c>
      <c r="E123" s="2" t="s">
        <v>746</v>
      </c>
      <c r="F123" s="2" t="s">
        <v>747</v>
      </c>
      <c r="G123" s="2" t="s">
        <v>55</v>
      </c>
    </row>
    <row r="124" ht="57.6" spans="1:7">
      <c r="A124" s="2" t="s">
        <v>748</v>
      </c>
      <c r="B124" s="2" t="s">
        <v>316</v>
      </c>
      <c r="C124" s="2" t="s">
        <v>303</v>
      </c>
      <c r="D124" s="2" t="s">
        <v>374</v>
      </c>
      <c r="E124" s="2" t="s">
        <v>749</v>
      </c>
      <c r="F124" s="2" t="s">
        <v>750</v>
      </c>
      <c r="G124" s="2" t="s">
        <v>55</v>
      </c>
    </row>
    <row r="125" ht="57.6" spans="1:7">
      <c r="A125" s="2" t="s">
        <v>751</v>
      </c>
      <c r="B125" s="2" t="s">
        <v>318</v>
      </c>
      <c r="C125" s="2" t="s">
        <v>320</v>
      </c>
      <c r="D125" s="2" t="s">
        <v>374</v>
      </c>
      <c r="E125" s="2" t="s">
        <v>752</v>
      </c>
      <c r="F125" s="2" t="s">
        <v>753</v>
      </c>
      <c r="G125" s="2" t="s">
        <v>55</v>
      </c>
    </row>
    <row r="126" ht="57.6" spans="1:7">
      <c r="A126" s="2" t="s">
        <v>754</v>
      </c>
      <c r="B126" s="2" t="s">
        <v>321</v>
      </c>
      <c r="C126" s="2" t="s">
        <v>320</v>
      </c>
      <c r="D126" s="2" t="s">
        <v>374</v>
      </c>
      <c r="E126" s="2" t="s">
        <v>755</v>
      </c>
      <c r="F126" s="2" t="s">
        <v>756</v>
      </c>
      <c r="G126" s="2" t="s">
        <v>55</v>
      </c>
    </row>
    <row r="127" ht="43.2" spans="1:7">
      <c r="A127" s="2" t="s">
        <v>757</v>
      </c>
      <c r="B127" s="2" t="s">
        <v>323</v>
      </c>
      <c r="C127" s="2" t="s">
        <v>320</v>
      </c>
      <c r="D127" s="2" t="s">
        <v>374</v>
      </c>
      <c r="E127" s="2" t="s">
        <v>758</v>
      </c>
      <c r="F127" s="2" t="s">
        <v>759</v>
      </c>
      <c r="G127" s="2" t="s">
        <v>55</v>
      </c>
    </row>
    <row r="128" ht="57.6" spans="1:7">
      <c r="A128" s="2" t="s">
        <v>760</v>
      </c>
      <c r="B128" s="2" t="s">
        <v>325</v>
      </c>
      <c r="C128" s="2" t="s">
        <v>320</v>
      </c>
      <c r="D128" s="2" t="s">
        <v>374</v>
      </c>
      <c r="E128" s="2" t="s">
        <v>761</v>
      </c>
      <c r="F128" s="2" t="s">
        <v>762</v>
      </c>
      <c r="G128" s="2" t="s">
        <v>113</v>
      </c>
    </row>
    <row r="129" ht="57.6" spans="1:7">
      <c r="A129" s="2" t="s">
        <v>763</v>
      </c>
      <c r="B129" s="2" t="s">
        <v>327</v>
      </c>
      <c r="C129" s="2" t="s">
        <v>329</v>
      </c>
      <c r="D129" s="2" t="s">
        <v>439</v>
      </c>
      <c r="E129" s="2" t="s">
        <v>764</v>
      </c>
      <c r="F129" s="2" t="s">
        <v>765</v>
      </c>
      <c r="G129" s="2" t="s">
        <v>113</v>
      </c>
    </row>
    <row r="130" ht="43.2" spans="1:7">
      <c r="A130" s="2" t="s">
        <v>766</v>
      </c>
      <c r="B130" s="2" t="s">
        <v>330</v>
      </c>
      <c r="C130" s="2" t="s">
        <v>332</v>
      </c>
      <c r="D130" s="2" t="s">
        <v>374</v>
      </c>
      <c r="E130" s="2" t="s">
        <v>767</v>
      </c>
      <c r="F130" s="2" t="s">
        <v>768</v>
      </c>
      <c r="G130" s="2" t="s">
        <v>55</v>
      </c>
    </row>
    <row r="131" ht="43.2" spans="1:7">
      <c r="A131" s="2" t="s">
        <v>769</v>
      </c>
      <c r="B131" s="2" t="s">
        <v>333</v>
      </c>
      <c r="C131" s="2" t="s">
        <v>332</v>
      </c>
      <c r="D131" s="2" t="s">
        <v>374</v>
      </c>
      <c r="E131" s="2" t="s">
        <v>770</v>
      </c>
      <c r="F131" s="2" t="s">
        <v>771</v>
      </c>
      <c r="G131" s="2" t="s">
        <v>55</v>
      </c>
    </row>
    <row r="132" ht="57.6" spans="1:7">
      <c r="A132" s="2" t="s">
        <v>772</v>
      </c>
      <c r="B132" s="2" t="s">
        <v>335</v>
      </c>
      <c r="C132" s="2" t="s">
        <v>332</v>
      </c>
      <c r="D132" s="2" t="s">
        <v>374</v>
      </c>
      <c r="E132" s="2" t="s">
        <v>773</v>
      </c>
      <c r="F132" s="2" t="s">
        <v>774</v>
      </c>
      <c r="G132" s="2" t="s">
        <v>55</v>
      </c>
    </row>
    <row r="133" ht="57.6" spans="1:7">
      <c r="A133" s="2" t="s">
        <v>775</v>
      </c>
      <c r="B133" s="2" t="s">
        <v>337</v>
      </c>
      <c r="C133" s="2" t="s">
        <v>332</v>
      </c>
      <c r="D133" s="2" t="s">
        <v>374</v>
      </c>
      <c r="E133" s="2" t="s">
        <v>776</v>
      </c>
      <c r="F133" s="2" t="s">
        <v>777</v>
      </c>
      <c r="G133" s="2" t="s">
        <v>55</v>
      </c>
    </row>
    <row r="134" ht="57.6" spans="1:7">
      <c r="A134" s="2" t="s">
        <v>778</v>
      </c>
      <c r="B134" s="2" t="s">
        <v>339</v>
      </c>
      <c r="C134" s="2" t="s">
        <v>332</v>
      </c>
      <c r="D134" s="2" t="s">
        <v>374</v>
      </c>
      <c r="E134" s="2" t="s">
        <v>779</v>
      </c>
      <c r="F134" s="2" t="s">
        <v>780</v>
      </c>
      <c r="G134" s="2" t="s">
        <v>55</v>
      </c>
    </row>
    <row r="135" ht="57.6" spans="1:7">
      <c r="A135" s="2" t="s">
        <v>781</v>
      </c>
      <c r="B135" s="2" t="s">
        <v>341</v>
      </c>
      <c r="C135" s="2" t="s">
        <v>332</v>
      </c>
      <c r="D135" s="2" t="s">
        <v>374</v>
      </c>
      <c r="E135" s="2" t="s">
        <v>782</v>
      </c>
      <c r="F135" s="2" t="s">
        <v>783</v>
      </c>
      <c r="G135" s="2" t="s">
        <v>55</v>
      </c>
    </row>
    <row r="136" ht="57.6" spans="1:7">
      <c r="A136" s="2" t="s">
        <v>784</v>
      </c>
      <c r="B136" s="2" t="s">
        <v>343</v>
      </c>
      <c r="C136" s="2" t="s">
        <v>332</v>
      </c>
      <c r="D136" s="2" t="s">
        <v>426</v>
      </c>
      <c r="E136" s="2" t="s">
        <v>785</v>
      </c>
      <c r="F136" s="2" t="s">
        <v>786</v>
      </c>
      <c r="G136" s="2" t="s">
        <v>55</v>
      </c>
    </row>
    <row r="137" ht="43.2" spans="1:7">
      <c r="A137" s="2" t="s">
        <v>787</v>
      </c>
      <c r="B137" s="2" t="s">
        <v>345</v>
      </c>
      <c r="C137" s="2" t="s">
        <v>347</v>
      </c>
      <c r="D137" s="2" t="s">
        <v>374</v>
      </c>
      <c r="E137" s="2" t="s">
        <v>788</v>
      </c>
      <c r="F137" s="2" t="s">
        <v>789</v>
      </c>
      <c r="G137" s="2" t="s">
        <v>55</v>
      </c>
    </row>
    <row r="138" ht="57.6" spans="1:7">
      <c r="A138" s="2" t="s">
        <v>790</v>
      </c>
      <c r="B138" s="2" t="s">
        <v>348</v>
      </c>
      <c r="C138" s="2" t="s">
        <v>350</v>
      </c>
      <c r="D138" s="2" t="s">
        <v>374</v>
      </c>
      <c r="E138" s="2" t="s">
        <v>791</v>
      </c>
      <c r="F138" s="2" t="s">
        <v>792</v>
      </c>
      <c r="G138" s="2" t="s">
        <v>55</v>
      </c>
    </row>
    <row r="139" ht="57.6" spans="1:7">
      <c r="A139" s="2" t="s">
        <v>793</v>
      </c>
      <c r="B139" s="2" t="s">
        <v>351</v>
      </c>
      <c r="C139" s="2" t="s">
        <v>353</v>
      </c>
      <c r="D139" s="2" t="s">
        <v>374</v>
      </c>
      <c r="E139" s="2" t="s">
        <v>794</v>
      </c>
      <c r="F139" s="2" t="s">
        <v>795</v>
      </c>
      <c r="G139" s="2" t="s">
        <v>55</v>
      </c>
    </row>
    <row r="140" ht="57.6" spans="1:7">
      <c r="A140" s="2" t="s">
        <v>796</v>
      </c>
      <c r="B140" s="2" t="s">
        <v>354</v>
      </c>
      <c r="C140" s="2" t="s">
        <v>353</v>
      </c>
      <c r="D140" s="2" t="s">
        <v>426</v>
      </c>
      <c r="E140" s="2" t="s">
        <v>797</v>
      </c>
      <c r="F140" s="2" t="s">
        <v>798</v>
      </c>
      <c r="G140" s="2" t="s">
        <v>113</v>
      </c>
    </row>
    <row r="141" ht="57.6" spans="1:7">
      <c r="A141" s="2" t="s">
        <v>799</v>
      </c>
      <c r="B141" s="2" t="s">
        <v>356</v>
      </c>
      <c r="C141" s="2" t="s">
        <v>353</v>
      </c>
      <c r="D141" s="2" t="s">
        <v>374</v>
      </c>
      <c r="E141" s="2" t="s">
        <v>800</v>
      </c>
      <c r="F141" s="2" t="s">
        <v>801</v>
      </c>
      <c r="G141" s="2" t="s">
        <v>113</v>
      </c>
    </row>
    <row r="142" ht="57.6" spans="1:7">
      <c r="A142" s="2" t="s">
        <v>802</v>
      </c>
      <c r="B142" s="2" t="s">
        <v>358</v>
      </c>
      <c r="C142" s="2" t="s">
        <v>360</v>
      </c>
      <c r="D142" s="2" t="s">
        <v>374</v>
      </c>
      <c r="E142" s="2" t="s">
        <v>803</v>
      </c>
      <c r="F142" s="2" t="s">
        <v>804</v>
      </c>
      <c r="G142" s="2" t="s">
        <v>55</v>
      </c>
    </row>
    <row r="143" ht="57.6" spans="1:7">
      <c r="A143" s="2" t="s">
        <v>805</v>
      </c>
      <c r="B143" s="2" t="s">
        <v>361</v>
      </c>
      <c r="C143" s="2" t="s">
        <v>363</v>
      </c>
      <c r="D143" s="2" t="s">
        <v>374</v>
      </c>
      <c r="E143" s="2" t="s">
        <v>806</v>
      </c>
      <c r="F143" s="2" t="s">
        <v>807</v>
      </c>
      <c r="G143" s="2" t="s">
        <v>55</v>
      </c>
    </row>
    <row r="144" ht="43.2" spans="1:7">
      <c r="A144" s="2" t="s">
        <v>808</v>
      </c>
      <c r="B144" s="2" t="s">
        <v>364</v>
      </c>
      <c r="C144" s="2" t="s">
        <v>363</v>
      </c>
      <c r="D144" s="2" t="s">
        <v>374</v>
      </c>
      <c r="E144" s="2" t="s">
        <v>809</v>
      </c>
      <c r="F144" s="2" t="s">
        <v>810</v>
      </c>
      <c r="G144" s="2" t="s">
        <v>55</v>
      </c>
    </row>
    <row r="145" ht="57.6" spans="1:7">
      <c r="A145" s="2" t="s">
        <v>811</v>
      </c>
      <c r="B145" s="2" t="s">
        <v>366</v>
      </c>
      <c r="C145" s="2" t="s">
        <v>368</v>
      </c>
      <c r="D145" s="2" t="s">
        <v>374</v>
      </c>
      <c r="E145" s="2" t="s">
        <v>812</v>
      </c>
      <c r="F145" s="2" t="s">
        <v>813</v>
      </c>
      <c r="G145" s="2" t="s">
        <v>113</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368"/>
  <sheetViews>
    <sheetView topLeftCell="H1" workbookViewId="0">
      <pane ySplit="1" topLeftCell="A361" activePane="bottomLeft" state="frozen"/>
      <selection/>
      <selection pane="bottomLeft" activeCell="A1" sqref="A1"/>
    </sheetView>
  </sheetViews>
  <sheetFormatPr defaultColWidth="9" defaultRowHeight="14.4"/>
  <cols>
    <col min="1" max="1" width="14" customWidth="1"/>
    <col min="2" max="3" width="18" customWidth="1"/>
    <col min="4" max="4" width="40" customWidth="1"/>
    <col min="5" max="5" width="45" customWidth="1"/>
    <col min="6" max="6" width="35" customWidth="1"/>
    <col min="7" max="7" width="45" customWidth="1"/>
    <col min="8" max="8" width="25" customWidth="1"/>
    <col min="9" max="9" width="45" customWidth="1"/>
    <col min="10" max="10" width="30" customWidth="1"/>
    <col min="11" max="11" width="40" customWidth="1"/>
    <col min="12" max="12" width="12" customWidth="1"/>
    <col min="13" max="13" width="18" customWidth="1"/>
    <col min="14" max="14" width="12" customWidth="1"/>
    <col min="15" max="15" width="10" customWidth="1"/>
  </cols>
  <sheetData>
    <row r="1" ht="30" customHeight="1" spans="1:15">
      <c r="A1" s="1" t="s">
        <v>814</v>
      </c>
      <c r="B1" s="1" t="s">
        <v>815</v>
      </c>
      <c r="C1" s="1" t="s">
        <v>46</v>
      </c>
      <c r="D1" s="1" t="s">
        <v>816</v>
      </c>
      <c r="E1" s="1" t="s">
        <v>47</v>
      </c>
      <c r="F1" s="1" t="s">
        <v>817</v>
      </c>
      <c r="G1" s="1" t="s">
        <v>818</v>
      </c>
      <c r="H1" s="1" t="s">
        <v>819</v>
      </c>
      <c r="I1" s="1" t="s">
        <v>820</v>
      </c>
      <c r="J1" s="1" t="s">
        <v>821</v>
      </c>
      <c r="K1" s="1" t="s">
        <v>822</v>
      </c>
      <c r="L1" s="1" t="s">
        <v>50</v>
      </c>
      <c r="M1" s="1" t="s">
        <v>20</v>
      </c>
      <c r="N1" s="1" t="s">
        <v>823</v>
      </c>
      <c r="O1" s="1" t="s">
        <v>49</v>
      </c>
    </row>
    <row r="2" ht="86.4" spans="1:15">
      <c r="A2" s="2" t="s">
        <v>824</v>
      </c>
      <c r="B2" s="2" t="s">
        <v>825</v>
      </c>
      <c r="C2" s="2" t="s">
        <v>52</v>
      </c>
      <c r="D2" s="2" t="s">
        <v>826</v>
      </c>
      <c r="E2" s="2" t="s">
        <v>827</v>
      </c>
      <c r="F2" s="2" t="s">
        <v>828</v>
      </c>
      <c r="G2" s="2" t="s">
        <v>829</v>
      </c>
      <c r="H2" s="2" t="s">
        <v>830</v>
      </c>
      <c r="I2" s="2" t="s">
        <v>831</v>
      </c>
      <c r="J2" s="2" t="s">
        <v>832</v>
      </c>
      <c r="K2" s="2" t="s">
        <v>831</v>
      </c>
      <c r="L2" s="2" t="s">
        <v>22</v>
      </c>
      <c r="M2" s="2" t="s">
        <v>27</v>
      </c>
      <c r="N2" s="2" t="s">
        <v>13</v>
      </c>
      <c r="O2" s="2" t="s">
        <v>833</v>
      </c>
    </row>
    <row r="3" ht="72" spans="1:15">
      <c r="A3" s="2" t="s">
        <v>834</v>
      </c>
      <c r="B3" s="2" t="s">
        <v>835</v>
      </c>
      <c r="C3" s="2" t="s">
        <v>52</v>
      </c>
      <c r="D3" s="2" t="s">
        <v>836</v>
      </c>
      <c r="E3" s="2" t="s">
        <v>837</v>
      </c>
      <c r="F3" s="2" t="s">
        <v>838</v>
      </c>
      <c r="G3" s="2" t="s">
        <v>839</v>
      </c>
      <c r="H3" s="2" t="s">
        <v>840</v>
      </c>
      <c r="I3" s="2" t="s">
        <v>841</v>
      </c>
      <c r="J3" s="2" t="s">
        <v>842</v>
      </c>
      <c r="K3" s="2" t="s">
        <v>841</v>
      </c>
      <c r="L3" s="2" t="s">
        <v>22</v>
      </c>
      <c r="M3" s="2" t="s">
        <v>27</v>
      </c>
      <c r="N3" s="2" t="s">
        <v>13</v>
      </c>
      <c r="O3" s="2" t="s">
        <v>833</v>
      </c>
    </row>
    <row r="4" ht="57.6" spans="1:15">
      <c r="A4" s="2" t="s">
        <v>843</v>
      </c>
      <c r="B4" s="2" t="s">
        <v>835</v>
      </c>
      <c r="C4" s="2" t="s">
        <v>52</v>
      </c>
      <c r="D4" s="2" t="s">
        <v>844</v>
      </c>
      <c r="E4" s="2" t="s">
        <v>845</v>
      </c>
      <c r="F4" s="2" t="s">
        <v>846</v>
      </c>
      <c r="G4" s="2" t="s">
        <v>847</v>
      </c>
      <c r="H4" s="2" t="s">
        <v>840</v>
      </c>
      <c r="I4" s="2" t="s">
        <v>848</v>
      </c>
      <c r="J4" s="2" t="s">
        <v>849</v>
      </c>
      <c r="K4" s="2" t="s">
        <v>848</v>
      </c>
      <c r="L4" s="2" t="s">
        <v>22</v>
      </c>
      <c r="M4" s="2" t="s">
        <v>27</v>
      </c>
      <c r="N4" s="2" t="s">
        <v>13</v>
      </c>
      <c r="O4" s="2" t="s">
        <v>833</v>
      </c>
    </row>
    <row r="5" ht="43.2" spans="1:15">
      <c r="A5" s="2" t="s">
        <v>850</v>
      </c>
      <c r="B5" s="2" t="s">
        <v>835</v>
      </c>
      <c r="C5" s="2" t="s">
        <v>52</v>
      </c>
      <c r="D5" s="2" t="s">
        <v>851</v>
      </c>
      <c r="E5" s="2" t="s">
        <v>852</v>
      </c>
      <c r="F5" s="2" t="s">
        <v>846</v>
      </c>
      <c r="G5" s="2" t="s">
        <v>853</v>
      </c>
      <c r="H5" s="2" t="s">
        <v>840</v>
      </c>
      <c r="I5" s="2" t="s">
        <v>848</v>
      </c>
      <c r="J5" s="2" t="s">
        <v>849</v>
      </c>
      <c r="K5" s="2" t="s">
        <v>848</v>
      </c>
      <c r="L5" s="2" t="s">
        <v>22</v>
      </c>
      <c r="M5" s="2" t="s">
        <v>27</v>
      </c>
      <c r="N5" s="2" t="s">
        <v>13</v>
      </c>
      <c r="O5" s="2" t="s">
        <v>833</v>
      </c>
    </row>
    <row r="6" ht="43.2" spans="1:15">
      <c r="A6" s="2" t="s">
        <v>854</v>
      </c>
      <c r="B6" s="2" t="s">
        <v>835</v>
      </c>
      <c r="C6" s="2" t="s">
        <v>52</v>
      </c>
      <c r="D6" s="2" t="s">
        <v>855</v>
      </c>
      <c r="E6" s="2" t="s">
        <v>856</v>
      </c>
      <c r="F6" s="2" t="s">
        <v>846</v>
      </c>
      <c r="G6" s="2" t="s">
        <v>857</v>
      </c>
      <c r="H6" s="2" t="s">
        <v>840</v>
      </c>
      <c r="I6" s="2" t="s">
        <v>848</v>
      </c>
      <c r="J6" s="2" t="s">
        <v>849</v>
      </c>
      <c r="K6" s="2" t="s">
        <v>848</v>
      </c>
      <c r="L6" s="2" t="s">
        <v>22</v>
      </c>
      <c r="M6" s="2" t="s">
        <v>27</v>
      </c>
      <c r="N6" s="2" t="s">
        <v>13</v>
      </c>
      <c r="O6" s="2" t="s">
        <v>833</v>
      </c>
    </row>
    <row r="7" ht="43.2" spans="1:15">
      <c r="A7" s="2" t="s">
        <v>858</v>
      </c>
      <c r="B7" s="2" t="s">
        <v>835</v>
      </c>
      <c r="C7" s="2" t="s">
        <v>52</v>
      </c>
      <c r="D7" s="2" t="s">
        <v>859</v>
      </c>
      <c r="E7" s="2" t="s">
        <v>860</v>
      </c>
      <c r="F7" s="2" t="s">
        <v>846</v>
      </c>
      <c r="G7" s="2" t="s">
        <v>861</v>
      </c>
      <c r="H7" s="2" t="s">
        <v>840</v>
      </c>
      <c r="I7" s="2" t="s">
        <v>848</v>
      </c>
      <c r="J7" s="2" t="s">
        <v>849</v>
      </c>
      <c r="K7" s="2" t="s">
        <v>848</v>
      </c>
      <c r="L7" s="2" t="s">
        <v>22</v>
      </c>
      <c r="M7" s="2" t="s">
        <v>27</v>
      </c>
      <c r="N7" s="2" t="s">
        <v>13</v>
      </c>
      <c r="O7" s="2" t="s">
        <v>833</v>
      </c>
    </row>
    <row r="8" ht="72" spans="1:15">
      <c r="A8" s="2" t="s">
        <v>862</v>
      </c>
      <c r="B8" s="2" t="s">
        <v>835</v>
      </c>
      <c r="C8" s="2" t="s">
        <v>52</v>
      </c>
      <c r="D8" s="2" t="s">
        <v>863</v>
      </c>
      <c r="E8" s="2" t="s">
        <v>864</v>
      </c>
      <c r="F8" s="2" t="s">
        <v>865</v>
      </c>
      <c r="G8" s="2" t="s">
        <v>866</v>
      </c>
      <c r="H8" s="2" t="s">
        <v>840</v>
      </c>
      <c r="I8" s="2" t="s">
        <v>867</v>
      </c>
      <c r="J8" s="2" t="s">
        <v>868</v>
      </c>
      <c r="K8" s="2" t="s">
        <v>867</v>
      </c>
      <c r="L8" s="2" t="s">
        <v>22</v>
      </c>
      <c r="M8" s="2" t="s">
        <v>27</v>
      </c>
      <c r="N8" s="2" t="s">
        <v>13</v>
      </c>
      <c r="O8" s="2" t="s">
        <v>833</v>
      </c>
    </row>
    <row r="9" ht="57.6" spans="1:15">
      <c r="A9" s="2" t="s">
        <v>869</v>
      </c>
      <c r="B9" s="2" t="s">
        <v>835</v>
      </c>
      <c r="C9" s="2" t="s">
        <v>52</v>
      </c>
      <c r="D9" s="2" t="s">
        <v>870</v>
      </c>
      <c r="E9" s="2" t="s">
        <v>871</v>
      </c>
      <c r="F9" s="2" t="s">
        <v>872</v>
      </c>
      <c r="G9" s="2" t="s">
        <v>873</v>
      </c>
      <c r="H9" s="2" t="s">
        <v>874</v>
      </c>
      <c r="I9" s="2" t="s">
        <v>875</v>
      </c>
      <c r="J9" s="2" t="s">
        <v>876</v>
      </c>
      <c r="K9" s="2" t="s">
        <v>877</v>
      </c>
      <c r="L9" s="2" t="s">
        <v>23</v>
      </c>
      <c r="M9" s="2" t="s">
        <v>27</v>
      </c>
      <c r="N9" s="2" t="s">
        <v>13</v>
      </c>
      <c r="O9" s="2" t="s">
        <v>833</v>
      </c>
    </row>
    <row r="10" ht="86.4" spans="1:15">
      <c r="A10" s="2" t="s">
        <v>878</v>
      </c>
      <c r="B10" s="2" t="s">
        <v>835</v>
      </c>
      <c r="C10" s="2" t="s">
        <v>57</v>
      </c>
      <c r="D10" s="2" t="s">
        <v>879</v>
      </c>
      <c r="E10" s="2" t="s">
        <v>880</v>
      </c>
      <c r="F10" s="2" t="s">
        <v>881</v>
      </c>
      <c r="G10" s="2" t="s">
        <v>882</v>
      </c>
      <c r="H10" s="2" t="s">
        <v>883</v>
      </c>
      <c r="I10" s="2" t="s">
        <v>884</v>
      </c>
      <c r="J10" s="2" t="s">
        <v>885</v>
      </c>
      <c r="K10" s="2" t="s">
        <v>884</v>
      </c>
      <c r="L10" s="2" t="s">
        <v>22</v>
      </c>
      <c r="M10" s="2" t="s">
        <v>27</v>
      </c>
      <c r="N10" s="2" t="s">
        <v>13</v>
      </c>
      <c r="O10" s="2" t="s">
        <v>833</v>
      </c>
    </row>
    <row r="11" ht="72" spans="1:15">
      <c r="A11" s="2" t="s">
        <v>886</v>
      </c>
      <c r="B11" s="2" t="s">
        <v>835</v>
      </c>
      <c r="C11" s="2" t="s">
        <v>57</v>
      </c>
      <c r="D11" s="2" t="s">
        <v>887</v>
      </c>
      <c r="E11" s="2" t="s">
        <v>888</v>
      </c>
      <c r="F11" s="2" t="s">
        <v>889</v>
      </c>
      <c r="G11" s="2" t="s">
        <v>890</v>
      </c>
      <c r="H11" s="2" t="s">
        <v>891</v>
      </c>
      <c r="I11" s="2" t="s">
        <v>892</v>
      </c>
      <c r="J11" s="2" t="s">
        <v>893</v>
      </c>
      <c r="K11" s="2" t="s">
        <v>892</v>
      </c>
      <c r="L11" s="2" t="s">
        <v>22</v>
      </c>
      <c r="M11" s="2" t="s">
        <v>27</v>
      </c>
      <c r="N11" s="2" t="s">
        <v>13</v>
      </c>
      <c r="O11" s="2" t="s">
        <v>833</v>
      </c>
    </row>
    <row r="12" ht="57.6" spans="1:15">
      <c r="A12" s="2" t="s">
        <v>894</v>
      </c>
      <c r="B12" s="2" t="s">
        <v>835</v>
      </c>
      <c r="C12" s="2" t="s">
        <v>59</v>
      </c>
      <c r="D12" s="2" t="s">
        <v>895</v>
      </c>
      <c r="E12" s="2" t="s">
        <v>896</v>
      </c>
      <c r="F12" s="2" t="s">
        <v>897</v>
      </c>
      <c r="G12" s="2" t="s">
        <v>898</v>
      </c>
      <c r="H12" s="2" t="s">
        <v>899</v>
      </c>
      <c r="I12" s="2" t="s">
        <v>900</v>
      </c>
      <c r="J12" s="2" t="s">
        <v>901</v>
      </c>
      <c r="K12" s="2" t="s">
        <v>900</v>
      </c>
      <c r="L12" s="2" t="s">
        <v>22</v>
      </c>
      <c r="M12" s="2" t="s">
        <v>27</v>
      </c>
      <c r="N12" s="2" t="s">
        <v>13</v>
      </c>
      <c r="O12" s="2" t="s">
        <v>833</v>
      </c>
    </row>
    <row r="13" ht="57.6" spans="1:15">
      <c r="A13" s="2" t="s">
        <v>902</v>
      </c>
      <c r="B13" s="2" t="s">
        <v>835</v>
      </c>
      <c r="C13" s="2" t="s">
        <v>59</v>
      </c>
      <c r="D13" s="2" t="s">
        <v>903</v>
      </c>
      <c r="E13" s="2" t="s">
        <v>904</v>
      </c>
      <c r="F13" s="2" t="s">
        <v>905</v>
      </c>
      <c r="G13" s="2" t="s">
        <v>906</v>
      </c>
      <c r="H13" s="2" t="s">
        <v>907</v>
      </c>
      <c r="I13" s="2" t="s">
        <v>908</v>
      </c>
      <c r="J13" s="2" t="s">
        <v>909</v>
      </c>
      <c r="K13" s="2" t="s">
        <v>908</v>
      </c>
      <c r="L13" s="2" t="s">
        <v>22</v>
      </c>
      <c r="M13" s="2" t="s">
        <v>27</v>
      </c>
      <c r="N13" s="2" t="s">
        <v>13</v>
      </c>
      <c r="O13" s="2" t="s">
        <v>833</v>
      </c>
    </row>
    <row r="14" ht="57.6" spans="1:15">
      <c r="A14" s="2" t="s">
        <v>910</v>
      </c>
      <c r="B14" s="2" t="s">
        <v>835</v>
      </c>
      <c r="C14" s="2" t="s">
        <v>59</v>
      </c>
      <c r="D14" s="2" t="s">
        <v>911</v>
      </c>
      <c r="E14" s="2" t="s">
        <v>912</v>
      </c>
      <c r="F14" s="2" t="s">
        <v>905</v>
      </c>
      <c r="G14" s="2" t="s">
        <v>913</v>
      </c>
      <c r="H14" s="2" t="s">
        <v>914</v>
      </c>
      <c r="I14" s="2" t="s">
        <v>915</v>
      </c>
      <c r="J14" s="2" t="s">
        <v>916</v>
      </c>
      <c r="K14" s="2" t="s">
        <v>908</v>
      </c>
      <c r="L14" s="2" t="s">
        <v>22</v>
      </c>
      <c r="M14" s="2" t="s">
        <v>27</v>
      </c>
      <c r="N14" s="2" t="s">
        <v>13</v>
      </c>
      <c r="O14" s="2" t="s">
        <v>833</v>
      </c>
    </row>
    <row r="15" ht="57.6" spans="1:15">
      <c r="A15" s="2" t="s">
        <v>917</v>
      </c>
      <c r="B15" s="2" t="s">
        <v>835</v>
      </c>
      <c r="C15" s="2" t="s">
        <v>59</v>
      </c>
      <c r="D15" s="2" t="s">
        <v>918</v>
      </c>
      <c r="E15" s="2" t="s">
        <v>919</v>
      </c>
      <c r="F15" s="2" t="s">
        <v>920</v>
      </c>
      <c r="G15" s="2" t="s">
        <v>921</v>
      </c>
      <c r="H15" s="2" t="s">
        <v>830</v>
      </c>
      <c r="I15" s="2" t="s">
        <v>922</v>
      </c>
      <c r="J15" s="2" t="s">
        <v>923</v>
      </c>
      <c r="K15" s="2" t="s">
        <v>922</v>
      </c>
      <c r="L15" s="2" t="s">
        <v>22</v>
      </c>
      <c r="M15" s="2" t="s">
        <v>27</v>
      </c>
      <c r="N15" s="2" t="s">
        <v>13</v>
      </c>
      <c r="O15" s="2" t="s">
        <v>833</v>
      </c>
    </row>
    <row r="16" ht="43.2" spans="1:15">
      <c r="A16" s="2" t="s">
        <v>924</v>
      </c>
      <c r="B16" s="2" t="s">
        <v>835</v>
      </c>
      <c r="C16" s="2" t="s">
        <v>59</v>
      </c>
      <c r="D16" s="2" t="s">
        <v>925</v>
      </c>
      <c r="E16" s="2" t="s">
        <v>926</v>
      </c>
      <c r="F16" s="2" t="s">
        <v>927</v>
      </c>
      <c r="G16" s="2" t="s">
        <v>928</v>
      </c>
      <c r="H16" s="2" t="s">
        <v>929</v>
      </c>
      <c r="I16" s="2" t="s">
        <v>930</v>
      </c>
      <c r="J16" s="2" t="s">
        <v>931</v>
      </c>
      <c r="K16" s="2" t="s">
        <v>932</v>
      </c>
      <c r="L16" s="2" t="s">
        <v>23</v>
      </c>
      <c r="M16" s="2" t="s">
        <v>27</v>
      </c>
      <c r="N16" s="2" t="s">
        <v>13</v>
      </c>
      <c r="O16" s="2" t="s">
        <v>833</v>
      </c>
    </row>
    <row r="17" ht="57.6" spans="1:15">
      <c r="A17" s="2" t="s">
        <v>933</v>
      </c>
      <c r="B17" s="2" t="s">
        <v>835</v>
      </c>
      <c r="C17" s="2" t="s">
        <v>61</v>
      </c>
      <c r="D17" s="2" t="s">
        <v>934</v>
      </c>
      <c r="E17" s="2" t="s">
        <v>935</v>
      </c>
      <c r="F17" s="2" t="s">
        <v>936</v>
      </c>
      <c r="G17" s="2" t="s">
        <v>937</v>
      </c>
      <c r="H17" s="2" t="s">
        <v>830</v>
      </c>
      <c r="I17" s="2" t="s">
        <v>938</v>
      </c>
      <c r="J17" s="2" t="s">
        <v>939</v>
      </c>
      <c r="K17" s="2" t="s">
        <v>938</v>
      </c>
      <c r="L17" s="2" t="s">
        <v>22</v>
      </c>
      <c r="M17" s="2" t="s">
        <v>27</v>
      </c>
      <c r="N17" s="2" t="s">
        <v>13</v>
      </c>
      <c r="O17" s="2" t="s">
        <v>833</v>
      </c>
    </row>
    <row r="18" ht="86.4" spans="1:15">
      <c r="A18" s="2" t="s">
        <v>940</v>
      </c>
      <c r="B18" s="2" t="s">
        <v>835</v>
      </c>
      <c r="C18" s="2" t="s">
        <v>61</v>
      </c>
      <c r="D18" s="2" t="s">
        <v>941</v>
      </c>
      <c r="E18" s="2" t="s">
        <v>942</v>
      </c>
      <c r="F18" s="2" t="s">
        <v>943</v>
      </c>
      <c r="G18" s="2" t="s">
        <v>944</v>
      </c>
      <c r="H18" s="2" t="s">
        <v>830</v>
      </c>
      <c r="I18" s="2" t="s">
        <v>945</v>
      </c>
      <c r="J18" s="2" t="s">
        <v>946</v>
      </c>
      <c r="K18" s="2" t="s">
        <v>947</v>
      </c>
      <c r="L18" s="2" t="s">
        <v>948</v>
      </c>
      <c r="M18" s="2" t="s">
        <v>27</v>
      </c>
      <c r="N18" s="2" t="s">
        <v>13</v>
      </c>
      <c r="O18" s="2" t="s">
        <v>833</v>
      </c>
    </row>
    <row r="19" ht="115.2" spans="1:15">
      <c r="A19" s="2" t="s">
        <v>949</v>
      </c>
      <c r="B19" s="2" t="s">
        <v>835</v>
      </c>
      <c r="C19" s="2" t="s">
        <v>61</v>
      </c>
      <c r="D19" s="2" t="s">
        <v>950</v>
      </c>
      <c r="E19" s="2" t="s">
        <v>951</v>
      </c>
      <c r="F19" s="2" t="s">
        <v>952</v>
      </c>
      <c r="G19" s="2" t="s">
        <v>953</v>
      </c>
      <c r="H19" s="2" t="s">
        <v>830</v>
      </c>
      <c r="I19" s="2" t="s">
        <v>954</v>
      </c>
      <c r="J19" s="2" t="s">
        <v>955</v>
      </c>
      <c r="K19" s="2"/>
      <c r="L19" s="2" t="s">
        <v>948</v>
      </c>
      <c r="M19" s="2" t="s">
        <v>27</v>
      </c>
      <c r="N19" s="2" t="s">
        <v>13</v>
      </c>
      <c r="O19" s="2" t="s">
        <v>833</v>
      </c>
    </row>
    <row r="20" ht="100.8" spans="1:15">
      <c r="A20" s="2" t="s">
        <v>956</v>
      </c>
      <c r="B20" s="2" t="s">
        <v>835</v>
      </c>
      <c r="C20" s="2" t="s">
        <v>61</v>
      </c>
      <c r="D20" s="2" t="s">
        <v>957</v>
      </c>
      <c r="E20" s="2" t="s">
        <v>958</v>
      </c>
      <c r="F20" s="2" t="s">
        <v>959</v>
      </c>
      <c r="G20" s="2" t="s">
        <v>960</v>
      </c>
      <c r="H20" s="2" t="s">
        <v>830</v>
      </c>
      <c r="I20" s="2" t="s">
        <v>961</v>
      </c>
      <c r="J20" s="2" t="s">
        <v>962</v>
      </c>
      <c r="K20" s="2"/>
      <c r="L20" s="2" t="s">
        <v>948</v>
      </c>
      <c r="M20" s="2" t="s">
        <v>27</v>
      </c>
      <c r="N20" s="2" t="s">
        <v>13</v>
      </c>
      <c r="O20" s="2" t="s">
        <v>833</v>
      </c>
    </row>
    <row r="21" ht="86.4" spans="1:15">
      <c r="A21" s="2" t="s">
        <v>963</v>
      </c>
      <c r="B21" s="2" t="s">
        <v>835</v>
      </c>
      <c r="C21" s="2" t="s">
        <v>61</v>
      </c>
      <c r="D21" s="2" t="s">
        <v>964</v>
      </c>
      <c r="E21" s="2" t="s">
        <v>965</v>
      </c>
      <c r="F21" s="2" t="s">
        <v>966</v>
      </c>
      <c r="G21" s="2" t="s">
        <v>967</v>
      </c>
      <c r="H21" s="2" t="s">
        <v>830</v>
      </c>
      <c r="I21" s="2" t="s">
        <v>968</v>
      </c>
      <c r="J21" s="2" t="s">
        <v>969</v>
      </c>
      <c r="K21" s="2"/>
      <c r="L21" s="2" t="s">
        <v>948</v>
      </c>
      <c r="M21" s="2" t="s">
        <v>27</v>
      </c>
      <c r="N21" s="2" t="s">
        <v>13</v>
      </c>
      <c r="O21" s="2" t="s">
        <v>833</v>
      </c>
    </row>
    <row r="22" ht="129.6" spans="1:15">
      <c r="A22" s="2" t="s">
        <v>970</v>
      </c>
      <c r="B22" s="2" t="s">
        <v>835</v>
      </c>
      <c r="C22" s="2" t="s">
        <v>63</v>
      </c>
      <c r="D22" s="2" t="s">
        <v>971</v>
      </c>
      <c r="E22" s="2" t="s">
        <v>972</v>
      </c>
      <c r="F22" s="2" t="s">
        <v>973</v>
      </c>
      <c r="G22" s="2" t="s">
        <v>974</v>
      </c>
      <c r="H22" s="2" t="s">
        <v>975</v>
      </c>
      <c r="I22" s="2" t="s">
        <v>976</v>
      </c>
      <c r="J22" s="2" t="s">
        <v>977</v>
      </c>
      <c r="K22" s="2" t="s">
        <v>978</v>
      </c>
      <c r="L22" s="2" t="s">
        <v>948</v>
      </c>
      <c r="M22" s="2" t="s">
        <v>27</v>
      </c>
      <c r="N22" s="2" t="s">
        <v>13</v>
      </c>
      <c r="O22" s="2" t="s">
        <v>833</v>
      </c>
    </row>
    <row r="23" ht="57.6" spans="1:15">
      <c r="A23" s="2" t="s">
        <v>979</v>
      </c>
      <c r="B23" s="2" t="s">
        <v>835</v>
      </c>
      <c r="C23" s="2" t="s">
        <v>65</v>
      </c>
      <c r="D23" s="2" t="s">
        <v>980</v>
      </c>
      <c r="E23" s="2" t="s">
        <v>981</v>
      </c>
      <c r="F23" s="2" t="s">
        <v>982</v>
      </c>
      <c r="G23" s="2" t="s">
        <v>983</v>
      </c>
      <c r="H23" s="2" t="s">
        <v>984</v>
      </c>
      <c r="I23" s="2" t="s">
        <v>985</v>
      </c>
      <c r="J23" s="2" t="s">
        <v>986</v>
      </c>
      <c r="K23" s="2" t="s">
        <v>985</v>
      </c>
      <c r="L23" s="2" t="s">
        <v>22</v>
      </c>
      <c r="M23" s="2" t="s">
        <v>27</v>
      </c>
      <c r="N23" s="2" t="s">
        <v>13</v>
      </c>
      <c r="O23" s="2" t="s">
        <v>833</v>
      </c>
    </row>
    <row r="24" ht="72" spans="1:15">
      <c r="A24" s="2" t="s">
        <v>987</v>
      </c>
      <c r="B24" s="2" t="s">
        <v>835</v>
      </c>
      <c r="C24" s="2" t="s">
        <v>65</v>
      </c>
      <c r="D24" s="2" t="s">
        <v>988</v>
      </c>
      <c r="E24" s="2" t="s">
        <v>989</v>
      </c>
      <c r="F24" s="2" t="s">
        <v>990</v>
      </c>
      <c r="G24" s="2" t="s">
        <v>991</v>
      </c>
      <c r="H24" s="2" t="s">
        <v>992</v>
      </c>
      <c r="I24" s="2" t="s">
        <v>993</v>
      </c>
      <c r="J24" s="2" t="s">
        <v>994</v>
      </c>
      <c r="K24" s="2" t="s">
        <v>993</v>
      </c>
      <c r="L24" s="2" t="s">
        <v>22</v>
      </c>
      <c r="M24" s="2" t="s">
        <v>27</v>
      </c>
      <c r="N24" s="2" t="s">
        <v>13</v>
      </c>
      <c r="O24" s="2" t="s">
        <v>833</v>
      </c>
    </row>
    <row r="25" ht="72" spans="1:15">
      <c r="A25" s="2" t="s">
        <v>995</v>
      </c>
      <c r="B25" s="2" t="s">
        <v>835</v>
      </c>
      <c r="C25" s="2" t="s">
        <v>65</v>
      </c>
      <c r="D25" s="2" t="s">
        <v>996</v>
      </c>
      <c r="E25" s="2" t="s">
        <v>997</v>
      </c>
      <c r="F25" s="2" t="s">
        <v>998</v>
      </c>
      <c r="G25" s="2" t="s">
        <v>999</v>
      </c>
      <c r="H25" s="2" t="s">
        <v>1000</v>
      </c>
      <c r="I25" s="2" t="s">
        <v>1001</v>
      </c>
      <c r="J25" s="2" t="s">
        <v>1002</v>
      </c>
      <c r="K25" s="2" t="s">
        <v>1001</v>
      </c>
      <c r="L25" s="2" t="s">
        <v>22</v>
      </c>
      <c r="M25" s="2" t="s">
        <v>27</v>
      </c>
      <c r="N25" s="2" t="s">
        <v>13</v>
      </c>
      <c r="O25" s="2" t="s">
        <v>833</v>
      </c>
    </row>
    <row r="26" ht="100.8" spans="1:15">
      <c r="A26" s="2" t="s">
        <v>1003</v>
      </c>
      <c r="B26" s="2" t="s">
        <v>835</v>
      </c>
      <c r="C26" s="2" t="s">
        <v>65</v>
      </c>
      <c r="D26" s="2" t="s">
        <v>1004</v>
      </c>
      <c r="E26" s="2" t="s">
        <v>1005</v>
      </c>
      <c r="F26" s="2" t="s">
        <v>1006</v>
      </c>
      <c r="G26" s="2" t="s">
        <v>1007</v>
      </c>
      <c r="H26" s="2" t="s">
        <v>1008</v>
      </c>
      <c r="I26" s="2" t="s">
        <v>1009</v>
      </c>
      <c r="J26" s="2" t="s">
        <v>1010</v>
      </c>
      <c r="K26" s="2" t="s">
        <v>1011</v>
      </c>
      <c r="L26" s="2" t="s">
        <v>23</v>
      </c>
      <c r="M26" s="2" t="s">
        <v>27</v>
      </c>
      <c r="N26" s="2" t="s">
        <v>13</v>
      </c>
      <c r="O26" s="2" t="s">
        <v>833</v>
      </c>
    </row>
    <row r="27" ht="100.8" spans="1:15">
      <c r="A27" s="2" t="s">
        <v>1012</v>
      </c>
      <c r="B27" s="2" t="s">
        <v>835</v>
      </c>
      <c r="C27" s="2" t="s">
        <v>69</v>
      </c>
      <c r="D27" s="2" t="s">
        <v>1013</v>
      </c>
      <c r="E27" s="2" t="s">
        <v>1014</v>
      </c>
      <c r="F27" s="2" t="s">
        <v>1015</v>
      </c>
      <c r="G27" s="2" t="s">
        <v>1016</v>
      </c>
      <c r="H27" s="2" t="s">
        <v>1017</v>
      </c>
      <c r="I27" s="2" t="s">
        <v>1018</v>
      </c>
      <c r="J27" s="2" t="s">
        <v>1019</v>
      </c>
      <c r="K27" s="2" t="s">
        <v>1018</v>
      </c>
      <c r="L27" s="2" t="s">
        <v>22</v>
      </c>
      <c r="M27" s="2" t="s">
        <v>27</v>
      </c>
      <c r="N27" s="2" t="s">
        <v>13</v>
      </c>
      <c r="O27" s="2" t="s">
        <v>833</v>
      </c>
    </row>
    <row r="28" ht="100.8" spans="1:15">
      <c r="A28" s="2" t="s">
        <v>1020</v>
      </c>
      <c r="B28" s="2" t="s">
        <v>835</v>
      </c>
      <c r="C28" s="2" t="s">
        <v>69</v>
      </c>
      <c r="D28" s="2" t="s">
        <v>1021</v>
      </c>
      <c r="E28" s="2" t="s">
        <v>1022</v>
      </c>
      <c r="F28" s="2" t="s">
        <v>1023</v>
      </c>
      <c r="G28" s="2" t="s">
        <v>1016</v>
      </c>
      <c r="H28" s="2" t="s">
        <v>1017</v>
      </c>
      <c r="I28" s="2" t="s">
        <v>1024</v>
      </c>
      <c r="J28" s="2" t="s">
        <v>1025</v>
      </c>
      <c r="K28" s="2" t="s">
        <v>1026</v>
      </c>
      <c r="L28" s="2" t="s">
        <v>948</v>
      </c>
      <c r="M28" s="2" t="s">
        <v>27</v>
      </c>
      <c r="N28" s="2" t="s">
        <v>13</v>
      </c>
      <c r="O28" s="2" t="s">
        <v>833</v>
      </c>
    </row>
    <row r="29" ht="86.4" spans="1:15">
      <c r="A29" s="2" t="s">
        <v>1027</v>
      </c>
      <c r="B29" s="2" t="s">
        <v>835</v>
      </c>
      <c r="C29" s="2" t="s">
        <v>73</v>
      </c>
      <c r="D29" s="2" t="s">
        <v>1028</v>
      </c>
      <c r="E29" s="2" t="s">
        <v>1029</v>
      </c>
      <c r="F29" s="2" t="s">
        <v>1030</v>
      </c>
      <c r="G29" s="2" t="s">
        <v>1031</v>
      </c>
      <c r="H29" s="2" t="s">
        <v>992</v>
      </c>
      <c r="I29" s="2" t="s">
        <v>1032</v>
      </c>
      <c r="J29" s="2" t="s">
        <v>1033</v>
      </c>
      <c r="K29" s="2" t="s">
        <v>1032</v>
      </c>
      <c r="L29" s="2" t="s">
        <v>22</v>
      </c>
      <c r="M29" s="2" t="s">
        <v>27</v>
      </c>
      <c r="N29" s="2" t="s">
        <v>13</v>
      </c>
      <c r="O29" s="2" t="s">
        <v>833</v>
      </c>
    </row>
    <row r="30" ht="100.8" spans="1:15">
      <c r="A30" s="2" t="s">
        <v>1034</v>
      </c>
      <c r="B30" s="2" t="s">
        <v>835</v>
      </c>
      <c r="C30" s="2" t="s">
        <v>1035</v>
      </c>
      <c r="D30" s="2" t="s">
        <v>1036</v>
      </c>
      <c r="E30" s="2" t="s">
        <v>1037</v>
      </c>
      <c r="F30" s="2" t="s">
        <v>1038</v>
      </c>
      <c r="G30" s="2" t="s">
        <v>1039</v>
      </c>
      <c r="H30" s="2" t="s">
        <v>1040</v>
      </c>
      <c r="I30" s="2" t="s">
        <v>1041</v>
      </c>
      <c r="J30" s="2" t="s">
        <v>1042</v>
      </c>
      <c r="K30" s="2" t="s">
        <v>1041</v>
      </c>
      <c r="L30" s="2" t="s">
        <v>22</v>
      </c>
      <c r="M30" s="2" t="s">
        <v>27</v>
      </c>
      <c r="N30" s="2" t="s">
        <v>13</v>
      </c>
      <c r="O30" s="2" t="s">
        <v>833</v>
      </c>
    </row>
    <row r="31" ht="72" spans="1:15">
      <c r="A31" s="2" t="s">
        <v>1043</v>
      </c>
      <c r="B31" s="2" t="s">
        <v>835</v>
      </c>
      <c r="C31" s="2" t="s">
        <v>1035</v>
      </c>
      <c r="D31" s="2" t="s">
        <v>1044</v>
      </c>
      <c r="E31" s="2" t="s">
        <v>1045</v>
      </c>
      <c r="F31" s="2" t="s">
        <v>1046</v>
      </c>
      <c r="G31" s="2" t="s">
        <v>1047</v>
      </c>
      <c r="H31" s="2" t="s">
        <v>830</v>
      </c>
      <c r="I31" s="2" t="s">
        <v>1048</v>
      </c>
      <c r="J31" s="2" t="s">
        <v>1049</v>
      </c>
      <c r="K31" s="2" t="s">
        <v>1050</v>
      </c>
      <c r="L31" s="2" t="s">
        <v>23</v>
      </c>
      <c r="M31" s="2" t="s">
        <v>27</v>
      </c>
      <c r="N31" s="2" t="s">
        <v>13</v>
      </c>
      <c r="O31" s="2" t="s">
        <v>833</v>
      </c>
    </row>
    <row r="32" ht="72" spans="1:15">
      <c r="A32" s="2" t="s">
        <v>1051</v>
      </c>
      <c r="B32" s="2" t="s">
        <v>259</v>
      </c>
      <c r="C32" s="2" t="s">
        <v>257</v>
      </c>
      <c r="D32" s="2" t="s">
        <v>1052</v>
      </c>
      <c r="E32" s="2" t="s">
        <v>1053</v>
      </c>
      <c r="F32" s="2" t="s">
        <v>1054</v>
      </c>
      <c r="G32" s="2" t="s">
        <v>1055</v>
      </c>
      <c r="H32" s="2" t="s">
        <v>1056</v>
      </c>
      <c r="I32" s="2" t="s">
        <v>1057</v>
      </c>
      <c r="J32" s="2" t="s">
        <v>1058</v>
      </c>
      <c r="K32" s="2" t="s">
        <v>1059</v>
      </c>
      <c r="L32" s="2" t="s">
        <v>22</v>
      </c>
      <c r="M32" s="2" t="s">
        <v>27</v>
      </c>
      <c r="N32" s="2" t="s">
        <v>13</v>
      </c>
      <c r="O32" s="2" t="s">
        <v>833</v>
      </c>
    </row>
    <row r="33" ht="86.4" spans="1:15">
      <c r="A33" s="2" t="s">
        <v>1060</v>
      </c>
      <c r="B33" s="2" t="s">
        <v>835</v>
      </c>
      <c r="C33" s="2" t="s">
        <v>257</v>
      </c>
      <c r="D33" s="2" t="s">
        <v>1061</v>
      </c>
      <c r="E33" s="2" t="s">
        <v>1062</v>
      </c>
      <c r="F33" s="2" t="s">
        <v>1063</v>
      </c>
      <c r="G33" s="2" t="s">
        <v>1055</v>
      </c>
      <c r="H33" s="2" t="s">
        <v>1056</v>
      </c>
      <c r="I33" s="2" t="s">
        <v>1057</v>
      </c>
      <c r="J33" s="2" t="s">
        <v>1058</v>
      </c>
      <c r="K33" s="2" t="s">
        <v>1057</v>
      </c>
      <c r="L33" s="2" t="s">
        <v>22</v>
      </c>
      <c r="M33" s="2" t="s">
        <v>27</v>
      </c>
      <c r="N33" s="2" t="s">
        <v>13</v>
      </c>
      <c r="O33" s="2" t="s">
        <v>833</v>
      </c>
    </row>
    <row r="34" ht="72" spans="1:15">
      <c r="A34" s="2" t="s">
        <v>1064</v>
      </c>
      <c r="B34" s="2" t="s">
        <v>835</v>
      </c>
      <c r="C34" s="2" t="s">
        <v>257</v>
      </c>
      <c r="D34" s="2" t="s">
        <v>1065</v>
      </c>
      <c r="E34" s="2" t="s">
        <v>1066</v>
      </c>
      <c r="F34" s="2" t="s">
        <v>1067</v>
      </c>
      <c r="G34" s="2" t="s">
        <v>1055</v>
      </c>
      <c r="H34" s="2" t="s">
        <v>1056</v>
      </c>
      <c r="I34" s="2" t="s">
        <v>1057</v>
      </c>
      <c r="J34" s="2" t="s">
        <v>1058</v>
      </c>
      <c r="K34" s="2" t="s">
        <v>1068</v>
      </c>
      <c r="L34" s="2" t="s">
        <v>23</v>
      </c>
      <c r="M34" s="2" t="s">
        <v>27</v>
      </c>
      <c r="N34" s="2" t="s">
        <v>13</v>
      </c>
      <c r="O34" s="2" t="s">
        <v>833</v>
      </c>
    </row>
    <row r="35" ht="86.4" spans="1:15">
      <c r="A35" s="2" t="s">
        <v>1069</v>
      </c>
      <c r="B35" s="2" t="s">
        <v>835</v>
      </c>
      <c r="C35" s="2" t="s">
        <v>257</v>
      </c>
      <c r="D35" s="2" t="s">
        <v>1070</v>
      </c>
      <c r="E35" s="2" t="s">
        <v>1071</v>
      </c>
      <c r="F35" s="2" t="s">
        <v>1072</v>
      </c>
      <c r="G35" s="2" t="s">
        <v>1073</v>
      </c>
      <c r="H35" s="2" t="s">
        <v>1074</v>
      </c>
      <c r="I35" s="2" t="s">
        <v>1075</v>
      </c>
      <c r="J35" s="2" t="s">
        <v>1076</v>
      </c>
      <c r="K35" s="2" t="s">
        <v>1077</v>
      </c>
      <c r="L35" s="2" t="s">
        <v>23</v>
      </c>
      <c r="M35" s="2" t="s">
        <v>27</v>
      </c>
      <c r="N35" s="2" t="s">
        <v>13</v>
      </c>
      <c r="O35" s="2" t="s">
        <v>833</v>
      </c>
    </row>
    <row r="36" ht="57.6" spans="1:15">
      <c r="A36" s="2" t="s">
        <v>1078</v>
      </c>
      <c r="B36" s="2" t="s">
        <v>835</v>
      </c>
      <c r="C36" s="2" t="s">
        <v>257</v>
      </c>
      <c r="D36" s="2" t="s">
        <v>1079</v>
      </c>
      <c r="E36" s="2" t="s">
        <v>1080</v>
      </c>
      <c r="F36" s="2" t="s">
        <v>1081</v>
      </c>
      <c r="G36" s="2" t="s">
        <v>1082</v>
      </c>
      <c r="H36" s="2" t="s">
        <v>830</v>
      </c>
      <c r="I36" s="2" t="s">
        <v>1083</v>
      </c>
      <c r="J36" s="2" t="s">
        <v>1084</v>
      </c>
      <c r="K36" s="2" t="s">
        <v>1085</v>
      </c>
      <c r="L36" s="2" t="s">
        <v>22</v>
      </c>
      <c r="M36" s="2" t="s">
        <v>27</v>
      </c>
      <c r="N36" s="2" t="s">
        <v>13</v>
      </c>
      <c r="O36" s="2" t="s">
        <v>833</v>
      </c>
    </row>
    <row r="37" ht="72" spans="1:15">
      <c r="A37" s="2" t="s">
        <v>1086</v>
      </c>
      <c r="B37" s="2" t="s">
        <v>835</v>
      </c>
      <c r="C37" s="2" t="s">
        <v>260</v>
      </c>
      <c r="D37" s="2" t="s">
        <v>1087</v>
      </c>
      <c r="E37" s="2" t="s">
        <v>1088</v>
      </c>
      <c r="F37" s="2" t="s">
        <v>1089</v>
      </c>
      <c r="G37" s="2" t="s">
        <v>1090</v>
      </c>
      <c r="H37" s="2" t="s">
        <v>1091</v>
      </c>
      <c r="I37" s="2" t="s">
        <v>1092</v>
      </c>
      <c r="J37" s="2" t="s">
        <v>1093</v>
      </c>
      <c r="K37" s="2" t="s">
        <v>1092</v>
      </c>
      <c r="L37" s="2" t="s">
        <v>22</v>
      </c>
      <c r="M37" s="2" t="s">
        <v>27</v>
      </c>
      <c r="N37" s="2" t="s">
        <v>13</v>
      </c>
      <c r="O37" s="2" t="s">
        <v>833</v>
      </c>
    </row>
    <row r="38" ht="72" spans="1:15">
      <c r="A38" s="2" t="s">
        <v>1094</v>
      </c>
      <c r="B38" s="2" t="s">
        <v>835</v>
      </c>
      <c r="C38" s="2" t="s">
        <v>260</v>
      </c>
      <c r="D38" s="2" t="s">
        <v>1095</v>
      </c>
      <c r="E38" s="2" t="s">
        <v>1096</v>
      </c>
      <c r="F38" s="2" t="s">
        <v>1089</v>
      </c>
      <c r="G38" s="2" t="s">
        <v>1097</v>
      </c>
      <c r="H38" s="2" t="s">
        <v>1098</v>
      </c>
      <c r="I38" s="2" t="s">
        <v>1099</v>
      </c>
      <c r="J38" s="2" t="s">
        <v>1100</v>
      </c>
      <c r="K38" s="2" t="s">
        <v>1099</v>
      </c>
      <c r="L38" s="2" t="s">
        <v>22</v>
      </c>
      <c r="M38" s="2" t="s">
        <v>27</v>
      </c>
      <c r="N38" s="2" t="s">
        <v>13</v>
      </c>
      <c r="O38" s="2" t="s">
        <v>833</v>
      </c>
    </row>
    <row r="39" ht="115.2" spans="1:15">
      <c r="A39" s="2" t="s">
        <v>1101</v>
      </c>
      <c r="B39" s="2" t="s">
        <v>835</v>
      </c>
      <c r="C39" s="2" t="s">
        <v>260</v>
      </c>
      <c r="D39" s="2" t="s">
        <v>1102</v>
      </c>
      <c r="E39" s="2" t="s">
        <v>1103</v>
      </c>
      <c r="F39" s="2" t="s">
        <v>1104</v>
      </c>
      <c r="G39" s="2" t="s">
        <v>1105</v>
      </c>
      <c r="H39" s="2" t="s">
        <v>1091</v>
      </c>
      <c r="I39" s="2" t="s">
        <v>1106</v>
      </c>
      <c r="J39" s="2" t="s">
        <v>1107</v>
      </c>
      <c r="K39" s="2" t="s">
        <v>1108</v>
      </c>
      <c r="L39" s="2" t="s">
        <v>948</v>
      </c>
      <c r="M39" s="2" t="s">
        <v>27</v>
      </c>
      <c r="N39" s="2" t="s">
        <v>13</v>
      </c>
      <c r="O39" s="2" t="s">
        <v>833</v>
      </c>
    </row>
    <row r="40" ht="57.6" spans="1:15">
      <c r="A40" s="2" t="s">
        <v>1109</v>
      </c>
      <c r="B40" s="2" t="s">
        <v>835</v>
      </c>
      <c r="C40" s="2" t="s">
        <v>260</v>
      </c>
      <c r="D40" s="2" t="s">
        <v>1110</v>
      </c>
      <c r="E40" s="2" t="s">
        <v>1111</v>
      </c>
      <c r="F40" s="2" t="s">
        <v>1112</v>
      </c>
      <c r="G40" s="2" t="s">
        <v>1113</v>
      </c>
      <c r="H40" s="2" t="s">
        <v>1114</v>
      </c>
      <c r="I40" s="2" t="s">
        <v>1115</v>
      </c>
      <c r="J40" s="2" t="s">
        <v>1100</v>
      </c>
      <c r="K40" s="2" t="s">
        <v>1115</v>
      </c>
      <c r="L40" s="2" t="s">
        <v>22</v>
      </c>
      <c r="M40" s="2" t="s">
        <v>27</v>
      </c>
      <c r="N40" s="2" t="s">
        <v>13</v>
      </c>
      <c r="O40" s="2" t="s">
        <v>833</v>
      </c>
    </row>
    <row r="41" ht="86.4" spans="1:15">
      <c r="A41" s="2" t="s">
        <v>1116</v>
      </c>
      <c r="B41" s="2" t="s">
        <v>835</v>
      </c>
      <c r="C41" s="2" t="s">
        <v>262</v>
      </c>
      <c r="D41" s="2" t="s">
        <v>1117</v>
      </c>
      <c r="E41" s="2" t="s">
        <v>1118</v>
      </c>
      <c r="F41" s="2" t="s">
        <v>1089</v>
      </c>
      <c r="G41" s="2" t="s">
        <v>1119</v>
      </c>
      <c r="H41" s="2" t="s">
        <v>830</v>
      </c>
      <c r="I41" s="2" t="s">
        <v>1120</v>
      </c>
      <c r="J41" s="2" t="s">
        <v>1121</v>
      </c>
      <c r="K41" s="2" t="s">
        <v>1122</v>
      </c>
      <c r="L41" s="2" t="s">
        <v>23</v>
      </c>
      <c r="M41" s="2" t="s">
        <v>27</v>
      </c>
      <c r="N41" s="2" t="s">
        <v>13</v>
      </c>
      <c r="O41" s="2" t="s">
        <v>833</v>
      </c>
    </row>
    <row r="42" ht="86.4" spans="1:15">
      <c r="A42" s="2" t="s">
        <v>1123</v>
      </c>
      <c r="B42" s="2" t="s">
        <v>835</v>
      </c>
      <c r="C42" s="2" t="s">
        <v>264</v>
      </c>
      <c r="D42" s="2" t="s">
        <v>1124</v>
      </c>
      <c r="E42" s="2" t="s">
        <v>1125</v>
      </c>
      <c r="F42" s="2" t="s">
        <v>1126</v>
      </c>
      <c r="G42" s="2" t="s">
        <v>1127</v>
      </c>
      <c r="H42" s="2" t="s">
        <v>830</v>
      </c>
      <c r="I42" s="2" t="s">
        <v>1128</v>
      </c>
      <c r="J42" s="2" t="s">
        <v>1129</v>
      </c>
      <c r="K42" s="2" t="s">
        <v>1128</v>
      </c>
      <c r="L42" s="2" t="s">
        <v>22</v>
      </c>
      <c r="M42" s="2" t="s">
        <v>27</v>
      </c>
      <c r="N42" s="2" t="s">
        <v>13</v>
      </c>
      <c r="O42" s="2" t="s">
        <v>833</v>
      </c>
    </row>
    <row r="43" ht="100.8" spans="1:15">
      <c r="A43" s="2" t="s">
        <v>1130</v>
      </c>
      <c r="B43" s="2" t="s">
        <v>835</v>
      </c>
      <c r="C43" s="2" t="s">
        <v>264</v>
      </c>
      <c r="D43" s="2" t="s">
        <v>1131</v>
      </c>
      <c r="E43" s="2" t="s">
        <v>1132</v>
      </c>
      <c r="F43" s="2" t="s">
        <v>1133</v>
      </c>
      <c r="G43" s="2" t="s">
        <v>1134</v>
      </c>
      <c r="H43" s="2" t="s">
        <v>1135</v>
      </c>
      <c r="I43" s="2" t="s">
        <v>1136</v>
      </c>
      <c r="J43" s="2" t="s">
        <v>1137</v>
      </c>
      <c r="K43" s="2" t="s">
        <v>1138</v>
      </c>
      <c r="L43" s="2" t="s">
        <v>22</v>
      </c>
      <c r="M43" s="2" t="s">
        <v>27</v>
      </c>
      <c r="N43" s="2" t="s">
        <v>13</v>
      </c>
      <c r="O43" s="2" t="s">
        <v>833</v>
      </c>
    </row>
    <row r="44" ht="72" spans="1:15">
      <c r="A44" s="2" t="s">
        <v>1139</v>
      </c>
      <c r="B44" s="2" t="s">
        <v>835</v>
      </c>
      <c r="C44" s="2" t="s">
        <v>264</v>
      </c>
      <c r="D44" s="2" t="s">
        <v>1140</v>
      </c>
      <c r="E44" s="2" t="s">
        <v>1141</v>
      </c>
      <c r="F44" s="2" t="s">
        <v>1142</v>
      </c>
      <c r="G44" s="2" t="s">
        <v>1143</v>
      </c>
      <c r="H44" s="2" t="s">
        <v>1144</v>
      </c>
      <c r="I44" s="2" t="s">
        <v>1145</v>
      </c>
      <c r="J44" s="2" t="s">
        <v>1146</v>
      </c>
      <c r="K44" s="2" t="s">
        <v>1147</v>
      </c>
      <c r="L44" s="2" t="s">
        <v>23</v>
      </c>
      <c r="M44" s="2" t="s">
        <v>27</v>
      </c>
      <c r="N44" s="2" t="s">
        <v>13</v>
      </c>
      <c r="O44" s="2" t="s">
        <v>833</v>
      </c>
    </row>
    <row r="45" ht="72" spans="1:15">
      <c r="A45" s="2" t="s">
        <v>1148</v>
      </c>
      <c r="B45" s="2" t="s">
        <v>835</v>
      </c>
      <c r="C45" s="2" t="s">
        <v>266</v>
      </c>
      <c r="D45" s="2" t="s">
        <v>1149</v>
      </c>
      <c r="E45" s="2" t="s">
        <v>1150</v>
      </c>
      <c r="F45" s="2" t="s">
        <v>1151</v>
      </c>
      <c r="G45" s="2" t="s">
        <v>1152</v>
      </c>
      <c r="H45" s="2" t="s">
        <v>830</v>
      </c>
      <c r="I45" s="2" t="s">
        <v>1153</v>
      </c>
      <c r="J45" s="2" t="s">
        <v>1154</v>
      </c>
      <c r="K45" s="2" t="s">
        <v>1155</v>
      </c>
      <c r="L45" s="2" t="s">
        <v>948</v>
      </c>
      <c r="M45" s="2" t="s">
        <v>27</v>
      </c>
      <c r="N45" s="2" t="s">
        <v>13</v>
      </c>
      <c r="O45" s="2" t="s">
        <v>833</v>
      </c>
    </row>
    <row r="46" ht="72" spans="1:15">
      <c r="A46" s="2" t="s">
        <v>1156</v>
      </c>
      <c r="B46" s="2" t="s">
        <v>835</v>
      </c>
      <c r="C46" s="2" t="s">
        <v>266</v>
      </c>
      <c r="D46" s="2" t="s">
        <v>1157</v>
      </c>
      <c r="E46" s="2" t="s">
        <v>1158</v>
      </c>
      <c r="F46" s="2" t="s">
        <v>1159</v>
      </c>
      <c r="G46" s="2" t="s">
        <v>1160</v>
      </c>
      <c r="H46" s="2" t="s">
        <v>830</v>
      </c>
      <c r="I46" s="2" t="s">
        <v>1161</v>
      </c>
      <c r="J46" s="2" t="s">
        <v>1162</v>
      </c>
      <c r="K46" s="2" t="s">
        <v>1161</v>
      </c>
      <c r="L46" s="2" t="s">
        <v>22</v>
      </c>
      <c r="M46" s="2" t="s">
        <v>27</v>
      </c>
      <c r="N46" s="2" t="s">
        <v>13</v>
      </c>
      <c r="O46" s="2" t="s">
        <v>833</v>
      </c>
    </row>
    <row r="47" ht="86.4" spans="1:15">
      <c r="A47" s="2" t="s">
        <v>1163</v>
      </c>
      <c r="B47" s="2" t="s">
        <v>835</v>
      </c>
      <c r="C47" s="2" t="s">
        <v>266</v>
      </c>
      <c r="D47" s="2" t="s">
        <v>1164</v>
      </c>
      <c r="E47" s="2" t="s">
        <v>1165</v>
      </c>
      <c r="F47" s="2" t="s">
        <v>1166</v>
      </c>
      <c r="G47" s="2" t="s">
        <v>1167</v>
      </c>
      <c r="H47" s="2" t="s">
        <v>1168</v>
      </c>
      <c r="I47" s="2" t="s">
        <v>1169</v>
      </c>
      <c r="J47" s="2" t="s">
        <v>1170</v>
      </c>
      <c r="K47" s="2" t="s">
        <v>1171</v>
      </c>
      <c r="L47" s="2" t="s">
        <v>948</v>
      </c>
      <c r="M47" s="2" t="s">
        <v>27</v>
      </c>
      <c r="N47" s="2" t="s">
        <v>13</v>
      </c>
      <c r="O47" s="2" t="s">
        <v>833</v>
      </c>
    </row>
    <row r="48" ht="72" spans="1:15">
      <c r="A48" s="2" t="s">
        <v>1172</v>
      </c>
      <c r="B48" s="2" t="s">
        <v>835</v>
      </c>
      <c r="C48" s="2" t="s">
        <v>266</v>
      </c>
      <c r="D48" s="2" t="s">
        <v>1173</v>
      </c>
      <c r="E48" s="2" t="s">
        <v>1174</v>
      </c>
      <c r="F48" s="2" t="s">
        <v>1175</v>
      </c>
      <c r="G48" s="2" t="s">
        <v>1176</v>
      </c>
      <c r="H48" s="2" t="s">
        <v>1177</v>
      </c>
      <c r="I48" s="2" t="s">
        <v>1178</v>
      </c>
      <c r="J48" s="2" t="s">
        <v>1179</v>
      </c>
      <c r="K48" s="2" t="s">
        <v>1180</v>
      </c>
      <c r="L48" s="2" t="s">
        <v>948</v>
      </c>
      <c r="M48" s="2" t="s">
        <v>27</v>
      </c>
      <c r="N48" s="2" t="s">
        <v>13</v>
      </c>
      <c r="O48" s="2" t="s">
        <v>833</v>
      </c>
    </row>
    <row r="49" ht="57.6" spans="1:15">
      <c r="A49" s="2" t="s">
        <v>1181</v>
      </c>
      <c r="B49" s="2" t="s">
        <v>230</v>
      </c>
      <c r="C49" s="2" t="s">
        <v>1182</v>
      </c>
      <c r="D49" s="2" t="s">
        <v>1183</v>
      </c>
      <c r="E49" s="2" t="s">
        <v>1184</v>
      </c>
      <c r="F49" s="2" t="s">
        <v>1185</v>
      </c>
      <c r="G49" s="2" t="s">
        <v>1186</v>
      </c>
      <c r="H49" s="2" t="s">
        <v>1187</v>
      </c>
      <c r="I49" s="2" t="s">
        <v>1188</v>
      </c>
      <c r="J49" s="2" t="s">
        <v>1189</v>
      </c>
      <c r="K49" s="2" t="s">
        <v>1190</v>
      </c>
      <c r="L49" s="2" t="s">
        <v>22</v>
      </c>
      <c r="M49" s="2" t="s">
        <v>1191</v>
      </c>
      <c r="N49" s="2" t="s">
        <v>13</v>
      </c>
      <c r="O49" s="2" t="s">
        <v>833</v>
      </c>
    </row>
    <row r="50" ht="86.4" spans="1:15">
      <c r="A50" s="2" t="s">
        <v>1192</v>
      </c>
      <c r="B50" s="2" t="s">
        <v>230</v>
      </c>
      <c r="C50" s="2" t="s">
        <v>1193</v>
      </c>
      <c r="D50" s="2" t="s">
        <v>1194</v>
      </c>
      <c r="E50" s="2" t="s">
        <v>1195</v>
      </c>
      <c r="F50" s="2" t="s">
        <v>1196</v>
      </c>
      <c r="G50" s="2" t="s">
        <v>1197</v>
      </c>
      <c r="H50" s="2" t="s">
        <v>1198</v>
      </c>
      <c r="I50" s="2" t="s">
        <v>1199</v>
      </c>
      <c r="J50" s="2" t="s">
        <v>1200</v>
      </c>
      <c r="K50" s="2" t="s">
        <v>1201</v>
      </c>
      <c r="L50" s="2" t="s">
        <v>22</v>
      </c>
      <c r="M50" s="2" t="s">
        <v>1191</v>
      </c>
      <c r="N50" s="2" t="s">
        <v>13</v>
      </c>
      <c r="O50" s="2" t="s">
        <v>833</v>
      </c>
    </row>
    <row r="51" ht="86.4" spans="1:15">
      <c r="A51" s="2" t="s">
        <v>1202</v>
      </c>
      <c r="B51" s="2" t="s">
        <v>230</v>
      </c>
      <c r="C51" s="2" t="s">
        <v>1203</v>
      </c>
      <c r="D51" s="2" t="s">
        <v>1204</v>
      </c>
      <c r="E51" s="2" t="s">
        <v>1205</v>
      </c>
      <c r="F51" s="2" t="s">
        <v>1206</v>
      </c>
      <c r="G51" s="2" t="s">
        <v>1207</v>
      </c>
      <c r="H51" s="2" t="s">
        <v>1208</v>
      </c>
      <c r="I51" s="2" t="s">
        <v>1209</v>
      </c>
      <c r="J51" s="2" t="s">
        <v>1210</v>
      </c>
      <c r="K51" s="2" t="s">
        <v>1211</v>
      </c>
      <c r="L51" s="2" t="s">
        <v>22</v>
      </c>
      <c r="M51" s="2" t="s">
        <v>1191</v>
      </c>
      <c r="N51" s="2" t="s">
        <v>13</v>
      </c>
      <c r="O51" s="2" t="s">
        <v>1212</v>
      </c>
    </row>
    <row r="52" ht="72" spans="1:15">
      <c r="A52" s="2" t="s">
        <v>1213</v>
      </c>
      <c r="B52" s="2" t="s">
        <v>230</v>
      </c>
      <c r="C52" s="2" t="s">
        <v>1214</v>
      </c>
      <c r="D52" s="2" t="s">
        <v>1215</v>
      </c>
      <c r="E52" s="2" t="s">
        <v>1216</v>
      </c>
      <c r="F52" s="2" t="s">
        <v>1217</v>
      </c>
      <c r="G52" s="2" t="s">
        <v>1218</v>
      </c>
      <c r="H52" s="2" t="s">
        <v>1219</v>
      </c>
      <c r="I52" s="2" t="s">
        <v>1220</v>
      </c>
      <c r="J52" s="2" t="s">
        <v>1221</v>
      </c>
      <c r="K52" s="2" t="s">
        <v>1222</v>
      </c>
      <c r="L52" s="2" t="s">
        <v>22</v>
      </c>
      <c r="M52" s="2" t="s">
        <v>1191</v>
      </c>
      <c r="N52" s="2" t="s">
        <v>13</v>
      </c>
      <c r="O52" s="2" t="s">
        <v>1212</v>
      </c>
    </row>
    <row r="53" ht="72" spans="1:15">
      <c r="A53" s="2" t="s">
        <v>1223</v>
      </c>
      <c r="B53" s="2" t="s">
        <v>230</v>
      </c>
      <c r="C53" s="2" t="s">
        <v>1224</v>
      </c>
      <c r="D53" s="2" t="s">
        <v>1225</v>
      </c>
      <c r="E53" s="2" t="s">
        <v>1226</v>
      </c>
      <c r="F53" s="2" t="s">
        <v>1206</v>
      </c>
      <c r="G53" s="2" t="s">
        <v>1227</v>
      </c>
      <c r="H53" s="2" t="s">
        <v>1228</v>
      </c>
      <c r="I53" s="2" t="s">
        <v>1229</v>
      </c>
      <c r="J53" s="2" t="s">
        <v>1230</v>
      </c>
      <c r="K53" s="2" t="s">
        <v>1231</v>
      </c>
      <c r="L53" s="2" t="s">
        <v>23</v>
      </c>
      <c r="M53" s="2" t="s">
        <v>1191</v>
      </c>
      <c r="N53" s="2" t="s">
        <v>13</v>
      </c>
      <c r="O53" s="2" t="s">
        <v>1212</v>
      </c>
    </row>
    <row r="54" ht="86.4" spans="1:15">
      <c r="A54" s="2" t="s">
        <v>1232</v>
      </c>
      <c r="B54" s="2" t="s">
        <v>230</v>
      </c>
      <c r="C54" s="2" t="s">
        <v>1233</v>
      </c>
      <c r="D54" s="2" t="s">
        <v>1234</v>
      </c>
      <c r="E54" s="2" t="s">
        <v>1235</v>
      </c>
      <c r="F54" s="2" t="s">
        <v>1236</v>
      </c>
      <c r="G54" s="2" t="s">
        <v>1237</v>
      </c>
      <c r="H54" s="2" t="s">
        <v>1238</v>
      </c>
      <c r="I54" s="2" t="s">
        <v>1239</v>
      </c>
      <c r="J54" s="2" t="s">
        <v>1240</v>
      </c>
      <c r="K54" s="2" t="s">
        <v>1241</v>
      </c>
      <c r="L54" s="2" t="s">
        <v>22</v>
      </c>
      <c r="M54" s="2" t="s">
        <v>1191</v>
      </c>
      <c r="N54" s="2" t="s">
        <v>13</v>
      </c>
      <c r="O54" s="2" t="s">
        <v>833</v>
      </c>
    </row>
    <row r="55" ht="86.4" spans="1:15">
      <c r="A55" s="2" t="s">
        <v>1242</v>
      </c>
      <c r="B55" s="2" t="s">
        <v>230</v>
      </c>
      <c r="C55" s="2" t="s">
        <v>1243</v>
      </c>
      <c r="D55" s="2" t="s">
        <v>1244</v>
      </c>
      <c r="E55" s="2" t="s">
        <v>1245</v>
      </c>
      <c r="F55" s="2" t="s">
        <v>1246</v>
      </c>
      <c r="G55" s="2" t="s">
        <v>1247</v>
      </c>
      <c r="H55" s="2" t="s">
        <v>1248</v>
      </c>
      <c r="I55" s="2" t="s">
        <v>1249</v>
      </c>
      <c r="J55" s="2" t="s">
        <v>1250</v>
      </c>
      <c r="K55" s="2" t="s">
        <v>1251</v>
      </c>
      <c r="L55" s="2" t="s">
        <v>22</v>
      </c>
      <c r="M55" s="2" t="s">
        <v>1191</v>
      </c>
      <c r="N55" s="2" t="s">
        <v>13</v>
      </c>
      <c r="O55" s="2" t="s">
        <v>833</v>
      </c>
    </row>
    <row r="56" ht="86.4" spans="1:15">
      <c r="A56" s="2" t="s">
        <v>1252</v>
      </c>
      <c r="B56" s="2" t="s">
        <v>230</v>
      </c>
      <c r="C56" s="2" t="s">
        <v>1253</v>
      </c>
      <c r="D56" s="2" t="s">
        <v>1254</v>
      </c>
      <c r="E56" s="2" t="s">
        <v>1255</v>
      </c>
      <c r="F56" s="2" t="s">
        <v>1196</v>
      </c>
      <c r="G56" s="2" t="s">
        <v>1256</v>
      </c>
      <c r="H56" s="2" t="s">
        <v>1257</v>
      </c>
      <c r="I56" s="2" t="s">
        <v>1258</v>
      </c>
      <c r="J56" s="2" t="s">
        <v>1259</v>
      </c>
      <c r="K56" s="2" t="s">
        <v>1260</v>
      </c>
      <c r="L56" s="2" t="s">
        <v>22</v>
      </c>
      <c r="M56" s="2" t="s">
        <v>1191</v>
      </c>
      <c r="N56" s="2" t="s">
        <v>13</v>
      </c>
      <c r="O56" s="2" t="s">
        <v>833</v>
      </c>
    </row>
    <row r="57" ht="100.8" spans="1:15">
      <c r="A57" s="2" t="s">
        <v>1261</v>
      </c>
      <c r="B57" s="2" t="s">
        <v>230</v>
      </c>
      <c r="C57" s="2" t="s">
        <v>1262</v>
      </c>
      <c r="D57" s="2" t="s">
        <v>1263</v>
      </c>
      <c r="E57" s="2" t="s">
        <v>1264</v>
      </c>
      <c r="F57" s="2" t="s">
        <v>1265</v>
      </c>
      <c r="G57" s="2" t="s">
        <v>1266</v>
      </c>
      <c r="H57" s="2" t="s">
        <v>1267</v>
      </c>
      <c r="I57" s="2" t="s">
        <v>1268</v>
      </c>
      <c r="J57" s="2" t="s">
        <v>1269</v>
      </c>
      <c r="K57" s="2" t="s">
        <v>1270</v>
      </c>
      <c r="L57" s="2" t="s">
        <v>22</v>
      </c>
      <c r="M57" s="2" t="s">
        <v>1191</v>
      </c>
      <c r="N57" s="2" t="s">
        <v>13</v>
      </c>
      <c r="O57" s="2" t="s">
        <v>1212</v>
      </c>
    </row>
    <row r="58" ht="72" spans="1:15">
      <c r="A58" s="2" t="s">
        <v>1271</v>
      </c>
      <c r="B58" s="2" t="s">
        <v>230</v>
      </c>
      <c r="C58" s="2" t="s">
        <v>1272</v>
      </c>
      <c r="D58" s="2" t="s">
        <v>1273</v>
      </c>
      <c r="E58" s="2" t="s">
        <v>1274</v>
      </c>
      <c r="F58" s="2" t="s">
        <v>1275</v>
      </c>
      <c r="G58" s="2" t="s">
        <v>1276</v>
      </c>
      <c r="H58" s="2" t="s">
        <v>1277</v>
      </c>
      <c r="I58" s="2" t="s">
        <v>1278</v>
      </c>
      <c r="J58" s="2" t="s">
        <v>1279</v>
      </c>
      <c r="K58" s="2" t="s">
        <v>1280</v>
      </c>
      <c r="L58" s="2" t="s">
        <v>22</v>
      </c>
      <c r="M58" s="2" t="s">
        <v>1191</v>
      </c>
      <c r="N58" s="2" t="s">
        <v>13</v>
      </c>
      <c r="O58" s="2" t="s">
        <v>1212</v>
      </c>
    </row>
    <row r="59" ht="86.4" spans="1:15">
      <c r="A59" s="2" t="s">
        <v>1281</v>
      </c>
      <c r="B59" s="2" t="s">
        <v>230</v>
      </c>
      <c r="C59" s="2" t="s">
        <v>1282</v>
      </c>
      <c r="D59" s="2" t="s">
        <v>1283</v>
      </c>
      <c r="E59" s="2" t="s">
        <v>1284</v>
      </c>
      <c r="F59" s="2" t="s">
        <v>1285</v>
      </c>
      <c r="G59" s="2" t="s">
        <v>1286</v>
      </c>
      <c r="H59" s="2" t="s">
        <v>1287</v>
      </c>
      <c r="I59" s="2" t="s">
        <v>1288</v>
      </c>
      <c r="J59" s="2" t="s">
        <v>1289</v>
      </c>
      <c r="K59" s="2" t="s">
        <v>1290</v>
      </c>
      <c r="L59" s="2" t="s">
        <v>23</v>
      </c>
      <c r="M59" s="2" t="s">
        <v>1191</v>
      </c>
      <c r="N59" s="2" t="s">
        <v>13</v>
      </c>
      <c r="O59" s="2" t="s">
        <v>833</v>
      </c>
    </row>
    <row r="60" ht="72" spans="1:15">
      <c r="A60" s="2" t="s">
        <v>1291</v>
      </c>
      <c r="B60" s="2" t="s">
        <v>230</v>
      </c>
      <c r="C60" s="2" t="s">
        <v>1292</v>
      </c>
      <c r="D60" s="2" t="s">
        <v>1293</v>
      </c>
      <c r="E60" s="2" t="s">
        <v>1294</v>
      </c>
      <c r="F60" s="2" t="s">
        <v>1295</v>
      </c>
      <c r="G60" s="2" t="s">
        <v>1296</v>
      </c>
      <c r="H60" s="2" t="s">
        <v>1287</v>
      </c>
      <c r="I60" s="2" t="s">
        <v>1297</v>
      </c>
      <c r="J60" s="2" t="s">
        <v>1298</v>
      </c>
      <c r="K60" s="2" t="s">
        <v>1299</v>
      </c>
      <c r="L60" s="2" t="s">
        <v>22</v>
      </c>
      <c r="M60" s="2" t="s">
        <v>1191</v>
      </c>
      <c r="N60" s="2" t="s">
        <v>13</v>
      </c>
      <c r="O60" s="2" t="s">
        <v>1212</v>
      </c>
    </row>
    <row r="61" ht="86.4" spans="1:15">
      <c r="A61" s="2" t="s">
        <v>1300</v>
      </c>
      <c r="B61" s="2" t="s">
        <v>230</v>
      </c>
      <c r="C61" s="2" t="s">
        <v>1301</v>
      </c>
      <c r="D61" s="2" t="s">
        <v>1302</v>
      </c>
      <c r="E61" s="2" t="s">
        <v>1303</v>
      </c>
      <c r="F61" s="2" t="s">
        <v>1285</v>
      </c>
      <c r="G61" s="2" t="s">
        <v>1304</v>
      </c>
      <c r="H61" s="2" t="s">
        <v>1287</v>
      </c>
      <c r="I61" s="2" t="s">
        <v>1305</v>
      </c>
      <c r="J61" s="2" t="s">
        <v>1306</v>
      </c>
      <c r="K61" s="2" t="s">
        <v>1307</v>
      </c>
      <c r="L61" s="2" t="s">
        <v>23</v>
      </c>
      <c r="M61" s="2" t="s">
        <v>1191</v>
      </c>
      <c r="N61" s="2" t="s">
        <v>13</v>
      </c>
      <c r="O61" s="2" t="s">
        <v>1212</v>
      </c>
    </row>
    <row r="62" ht="72" spans="1:15">
      <c r="A62" s="2" t="s">
        <v>1308</v>
      </c>
      <c r="B62" s="2" t="s">
        <v>230</v>
      </c>
      <c r="C62" s="2" t="s">
        <v>1309</v>
      </c>
      <c r="D62" s="2" t="s">
        <v>1310</v>
      </c>
      <c r="E62" s="2" t="s">
        <v>1311</v>
      </c>
      <c r="F62" s="2" t="s">
        <v>1312</v>
      </c>
      <c r="G62" s="2" t="s">
        <v>1313</v>
      </c>
      <c r="H62" s="2" t="s">
        <v>1287</v>
      </c>
      <c r="I62" s="2" t="s">
        <v>1314</v>
      </c>
      <c r="J62" s="2" t="s">
        <v>1315</v>
      </c>
      <c r="K62" s="2" t="s">
        <v>1316</v>
      </c>
      <c r="L62" s="2" t="s">
        <v>23</v>
      </c>
      <c r="M62" s="2" t="s">
        <v>1191</v>
      </c>
      <c r="N62" s="2" t="s">
        <v>13</v>
      </c>
      <c r="O62" s="2" t="s">
        <v>1212</v>
      </c>
    </row>
    <row r="63" ht="86.4" spans="1:15">
      <c r="A63" s="2" t="s">
        <v>1317</v>
      </c>
      <c r="B63" s="2" t="s">
        <v>230</v>
      </c>
      <c r="C63" s="2" t="s">
        <v>1318</v>
      </c>
      <c r="D63" s="2" t="s">
        <v>1319</v>
      </c>
      <c r="E63" s="2" t="s">
        <v>1320</v>
      </c>
      <c r="F63" s="2" t="s">
        <v>1321</v>
      </c>
      <c r="G63" s="2" t="s">
        <v>1322</v>
      </c>
      <c r="H63" s="2" t="s">
        <v>1323</v>
      </c>
      <c r="I63" s="2" t="s">
        <v>1324</v>
      </c>
      <c r="J63" s="2" t="s">
        <v>1325</v>
      </c>
      <c r="K63" s="2" t="s">
        <v>1326</v>
      </c>
      <c r="L63" s="2" t="s">
        <v>22</v>
      </c>
      <c r="M63" s="2" t="s">
        <v>1191</v>
      </c>
      <c r="N63" s="2" t="s">
        <v>13</v>
      </c>
      <c r="O63" s="2" t="s">
        <v>833</v>
      </c>
    </row>
    <row r="64" ht="86.4" spans="1:15">
      <c r="A64" s="2" t="s">
        <v>1327</v>
      </c>
      <c r="B64" s="2" t="s">
        <v>230</v>
      </c>
      <c r="C64" s="2" t="s">
        <v>1328</v>
      </c>
      <c r="D64" s="2" t="s">
        <v>1329</v>
      </c>
      <c r="E64" s="2" t="s">
        <v>1330</v>
      </c>
      <c r="F64" s="2" t="s">
        <v>1331</v>
      </c>
      <c r="G64" s="2" t="s">
        <v>1332</v>
      </c>
      <c r="H64" s="2" t="s">
        <v>1333</v>
      </c>
      <c r="I64" s="2" t="s">
        <v>1334</v>
      </c>
      <c r="J64" s="2" t="s">
        <v>1335</v>
      </c>
      <c r="K64" s="2" t="s">
        <v>1336</v>
      </c>
      <c r="L64" s="2" t="s">
        <v>22</v>
      </c>
      <c r="M64" s="2" t="s">
        <v>1191</v>
      </c>
      <c r="N64" s="2" t="s">
        <v>13</v>
      </c>
      <c r="O64" s="2" t="s">
        <v>833</v>
      </c>
    </row>
    <row r="65" ht="86.4" spans="1:15">
      <c r="A65" s="2" t="s">
        <v>1337</v>
      </c>
      <c r="B65" s="2" t="s">
        <v>230</v>
      </c>
      <c r="C65" s="2" t="s">
        <v>1338</v>
      </c>
      <c r="D65" s="2" t="s">
        <v>1339</v>
      </c>
      <c r="E65" s="2" t="s">
        <v>1340</v>
      </c>
      <c r="F65" s="2" t="s">
        <v>1341</v>
      </c>
      <c r="G65" s="2" t="s">
        <v>1342</v>
      </c>
      <c r="H65" s="2" t="s">
        <v>1343</v>
      </c>
      <c r="I65" s="2" t="s">
        <v>1344</v>
      </c>
      <c r="J65" s="2" t="s">
        <v>1345</v>
      </c>
      <c r="K65" s="2" t="s">
        <v>1346</v>
      </c>
      <c r="L65" s="2" t="s">
        <v>22</v>
      </c>
      <c r="M65" s="2" t="s">
        <v>1191</v>
      </c>
      <c r="N65" s="2" t="s">
        <v>13</v>
      </c>
      <c r="O65" s="2" t="s">
        <v>833</v>
      </c>
    </row>
    <row r="66" ht="86.4" spans="1:15">
      <c r="A66" s="2" t="s">
        <v>1347</v>
      </c>
      <c r="B66" s="2" t="s">
        <v>230</v>
      </c>
      <c r="C66" s="2" t="s">
        <v>1348</v>
      </c>
      <c r="D66" s="2" t="s">
        <v>1349</v>
      </c>
      <c r="E66" s="2" t="s">
        <v>1350</v>
      </c>
      <c r="F66" s="2" t="s">
        <v>1321</v>
      </c>
      <c r="G66" s="2" t="s">
        <v>1351</v>
      </c>
      <c r="H66" s="2" t="s">
        <v>1352</v>
      </c>
      <c r="I66" s="2" t="s">
        <v>1353</v>
      </c>
      <c r="J66" s="2" t="s">
        <v>1354</v>
      </c>
      <c r="K66" s="2" t="s">
        <v>1355</v>
      </c>
      <c r="L66" s="2" t="s">
        <v>23</v>
      </c>
      <c r="M66" s="2" t="s">
        <v>1191</v>
      </c>
      <c r="N66" s="2" t="s">
        <v>13</v>
      </c>
      <c r="O66" s="2" t="s">
        <v>833</v>
      </c>
    </row>
    <row r="67" ht="100.8" spans="1:15">
      <c r="A67" s="2" t="s">
        <v>1356</v>
      </c>
      <c r="B67" s="2" t="s">
        <v>230</v>
      </c>
      <c r="C67" s="2" t="s">
        <v>1357</v>
      </c>
      <c r="D67" s="2" t="s">
        <v>1358</v>
      </c>
      <c r="E67" s="2" t="s">
        <v>1359</v>
      </c>
      <c r="F67" s="2" t="s">
        <v>1360</v>
      </c>
      <c r="G67" s="2" t="s">
        <v>1361</v>
      </c>
      <c r="H67" s="2" t="s">
        <v>1362</v>
      </c>
      <c r="I67" s="2" t="s">
        <v>1363</v>
      </c>
      <c r="J67" s="2" t="s">
        <v>1364</v>
      </c>
      <c r="K67" s="2" t="s">
        <v>1365</v>
      </c>
      <c r="L67" s="2" t="s">
        <v>23</v>
      </c>
      <c r="M67" s="2" t="s">
        <v>1191</v>
      </c>
      <c r="N67" s="2" t="s">
        <v>13</v>
      </c>
      <c r="O67" s="2" t="s">
        <v>833</v>
      </c>
    </row>
    <row r="68" ht="100.8" spans="1:15">
      <c r="A68" s="2" t="s">
        <v>1366</v>
      </c>
      <c r="B68" s="2" t="s">
        <v>230</v>
      </c>
      <c r="C68" s="2" t="s">
        <v>1367</v>
      </c>
      <c r="D68" s="2" t="s">
        <v>1368</v>
      </c>
      <c r="E68" s="2" t="s">
        <v>1369</v>
      </c>
      <c r="F68" s="2" t="s">
        <v>1370</v>
      </c>
      <c r="G68" s="2" t="s">
        <v>1371</v>
      </c>
      <c r="H68" s="2" t="s">
        <v>1372</v>
      </c>
      <c r="I68" s="2" t="s">
        <v>1373</v>
      </c>
      <c r="J68" s="2" t="s">
        <v>1374</v>
      </c>
      <c r="K68" s="2" t="s">
        <v>1375</v>
      </c>
      <c r="L68" s="2" t="s">
        <v>22</v>
      </c>
      <c r="M68" s="2" t="s">
        <v>1191</v>
      </c>
      <c r="N68" s="2" t="s">
        <v>13</v>
      </c>
      <c r="O68" s="2" t="s">
        <v>833</v>
      </c>
    </row>
    <row r="69" ht="86.4" spans="1:15">
      <c r="A69" s="2" t="s">
        <v>1376</v>
      </c>
      <c r="B69" s="2" t="s">
        <v>230</v>
      </c>
      <c r="C69" s="2" t="s">
        <v>1377</v>
      </c>
      <c r="D69" s="2" t="s">
        <v>1378</v>
      </c>
      <c r="E69" s="2" t="s">
        <v>1379</v>
      </c>
      <c r="F69" s="2" t="s">
        <v>1380</v>
      </c>
      <c r="G69" s="2" t="s">
        <v>1381</v>
      </c>
      <c r="H69" s="2" t="s">
        <v>1382</v>
      </c>
      <c r="I69" s="2" t="s">
        <v>1383</v>
      </c>
      <c r="J69" s="2" t="s">
        <v>1384</v>
      </c>
      <c r="K69" s="2" t="s">
        <v>1385</v>
      </c>
      <c r="L69" s="2" t="s">
        <v>22</v>
      </c>
      <c r="M69" s="2" t="s">
        <v>1191</v>
      </c>
      <c r="N69" s="2" t="s">
        <v>13</v>
      </c>
      <c r="O69" s="2" t="s">
        <v>833</v>
      </c>
    </row>
    <row r="70" ht="72" spans="1:15">
      <c r="A70" s="2" t="s">
        <v>1386</v>
      </c>
      <c r="B70" s="2" t="s">
        <v>230</v>
      </c>
      <c r="C70" s="2" t="s">
        <v>1387</v>
      </c>
      <c r="D70" s="2" t="s">
        <v>1388</v>
      </c>
      <c r="E70" s="2" t="s">
        <v>1389</v>
      </c>
      <c r="F70" s="2" t="s">
        <v>1390</v>
      </c>
      <c r="G70" s="2" t="s">
        <v>1391</v>
      </c>
      <c r="H70" s="2" t="s">
        <v>1392</v>
      </c>
      <c r="I70" s="2" t="s">
        <v>1393</v>
      </c>
      <c r="J70" s="2" t="s">
        <v>1394</v>
      </c>
      <c r="K70" s="2" t="s">
        <v>1395</v>
      </c>
      <c r="L70" s="2" t="s">
        <v>22</v>
      </c>
      <c r="M70" s="2" t="s">
        <v>1191</v>
      </c>
      <c r="N70" s="2" t="s">
        <v>13</v>
      </c>
      <c r="O70" s="2" t="s">
        <v>833</v>
      </c>
    </row>
    <row r="71" ht="86.4" spans="1:15">
      <c r="A71" s="2" t="s">
        <v>1396</v>
      </c>
      <c r="B71" s="2" t="s">
        <v>230</v>
      </c>
      <c r="C71" s="2" t="s">
        <v>1397</v>
      </c>
      <c r="D71" s="2" t="s">
        <v>1398</v>
      </c>
      <c r="E71" s="2" t="s">
        <v>1399</v>
      </c>
      <c r="F71" s="2" t="s">
        <v>1400</v>
      </c>
      <c r="G71" s="2" t="s">
        <v>1401</v>
      </c>
      <c r="H71" s="2" t="s">
        <v>1402</v>
      </c>
      <c r="I71" s="2" t="s">
        <v>1403</v>
      </c>
      <c r="J71" s="2" t="s">
        <v>1404</v>
      </c>
      <c r="K71" s="2" t="s">
        <v>1405</v>
      </c>
      <c r="L71" s="2" t="s">
        <v>22</v>
      </c>
      <c r="M71" s="2" t="s">
        <v>1191</v>
      </c>
      <c r="N71" s="2" t="s">
        <v>13</v>
      </c>
      <c r="O71" s="2" t="s">
        <v>833</v>
      </c>
    </row>
    <row r="72" ht="86.4" spans="1:15">
      <c r="A72" s="2" t="s">
        <v>1406</v>
      </c>
      <c r="B72" s="2" t="s">
        <v>230</v>
      </c>
      <c r="C72" s="2" t="s">
        <v>1407</v>
      </c>
      <c r="D72" s="2" t="s">
        <v>1408</v>
      </c>
      <c r="E72" s="2" t="s">
        <v>1409</v>
      </c>
      <c r="F72" s="2" t="s">
        <v>1410</v>
      </c>
      <c r="G72" s="2" t="s">
        <v>1411</v>
      </c>
      <c r="H72" s="2" t="s">
        <v>1412</v>
      </c>
      <c r="I72" s="2" t="s">
        <v>1413</v>
      </c>
      <c r="J72" s="2" t="s">
        <v>1414</v>
      </c>
      <c r="K72" s="2" t="s">
        <v>1415</v>
      </c>
      <c r="L72" s="2" t="s">
        <v>22</v>
      </c>
      <c r="M72" s="2" t="s">
        <v>1191</v>
      </c>
      <c r="N72" s="2" t="s">
        <v>13</v>
      </c>
      <c r="O72" s="2" t="s">
        <v>1212</v>
      </c>
    </row>
    <row r="73" ht="86.4" spans="1:15">
      <c r="A73" s="2" t="s">
        <v>1416</v>
      </c>
      <c r="B73" s="2" t="s">
        <v>230</v>
      </c>
      <c r="C73" s="2" t="s">
        <v>1417</v>
      </c>
      <c r="D73" s="2" t="s">
        <v>1418</v>
      </c>
      <c r="E73" s="2" t="s">
        <v>1419</v>
      </c>
      <c r="F73" s="2" t="s">
        <v>1420</v>
      </c>
      <c r="G73" s="2" t="s">
        <v>1421</v>
      </c>
      <c r="H73" s="2" t="s">
        <v>1422</v>
      </c>
      <c r="I73" s="2" t="s">
        <v>1423</v>
      </c>
      <c r="J73" s="2" t="s">
        <v>1424</v>
      </c>
      <c r="K73" s="2" t="s">
        <v>1425</v>
      </c>
      <c r="L73" s="2" t="s">
        <v>22</v>
      </c>
      <c r="M73" s="2" t="s">
        <v>1191</v>
      </c>
      <c r="N73" s="2" t="s">
        <v>13</v>
      </c>
      <c r="O73" s="2" t="s">
        <v>833</v>
      </c>
    </row>
    <row r="74" ht="72" spans="1:15">
      <c r="A74" s="2" t="s">
        <v>1426</v>
      </c>
      <c r="B74" s="2" t="s">
        <v>230</v>
      </c>
      <c r="C74" s="2" t="s">
        <v>1427</v>
      </c>
      <c r="D74" s="2" t="s">
        <v>1428</v>
      </c>
      <c r="E74" s="2" t="s">
        <v>1429</v>
      </c>
      <c r="F74" s="2" t="s">
        <v>1360</v>
      </c>
      <c r="G74" s="2" t="s">
        <v>1430</v>
      </c>
      <c r="H74" s="2" t="s">
        <v>1431</v>
      </c>
      <c r="I74" s="2" t="s">
        <v>1432</v>
      </c>
      <c r="J74" s="2" t="s">
        <v>1433</v>
      </c>
      <c r="K74" s="2" t="s">
        <v>1434</v>
      </c>
      <c r="L74" s="2" t="s">
        <v>22</v>
      </c>
      <c r="M74" s="2" t="s">
        <v>1191</v>
      </c>
      <c r="N74" s="2" t="s">
        <v>13</v>
      </c>
      <c r="O74" s="2" t="s">
        <v>833</v>
      </c>
    </row>
    <row r="75" ht="86.4" spans="1:15">
      <c r="A75" s="2" t="s">
        <v>1435</v>
      </c>
      <c r="B75" s="2" t="s">
        <v>230</v>
      </c>
      <c r="C75" s="2" t="s">
        <v>1436</v>
      </c>
      <c r="D75" s="2" t="s">
        <v>1437</v>
      </c>
      <c r="E75" s="2" t="s">
        <v>1438</v>
      </c>
      <c r="F75" s="2" t="s">
        <v>1360</v>
      </c>
      <c r="G75" s="2" t="s">
        <v>1439</v>
      </c>
      <c r="H75" s="2" t="s">
        <v>1440</v>
      </c>
      <c r="I75" s="2" t="s">
        <v>1441</v>
      </c>
      <c r="J75" s="2" t="s">
        <v>1442</v>
      </c>
      <c r="K75" s="2" t="s">
        <v>1443</v>
      </c>
      <c r="L75" s="2" t="s">
        <v>22</v>
      </c>
      <c r="M75" s="2" t="s">
        <v>1191</v>
      </c>
      <c r="N75" s="2" t="s">
        <v>13</v>
      </c>
      <c r="O75" s="2" t="s">
        <v>833</v>
      </c>
    </row>
    <row r="76" ht="86.4" spans="1:15">
      <c r="A76" s="2" t="s">
        <v>1444</v>
      </c>
      <c r="B76" s="2" t="s">
        <v>230</v>
      </c>
      <c r="C76" s="2" t="s">
        <v>1445</v>
      </c>
      <c r="D76" s="2" t="s">
        <v>1446</v>
      </c>
      <c r="E76" s="2" t="s">
        <v>1447</v>
      </c>
      <c r="F76" s="2" t="s">
        <v>1360</v>
      </c>
      <c r="G76" s="2" t="s">
        <v>1448</v>
      </c>
      <c r="H76" s="2" t="s">
        <v>1449</v>
      </c>
      <c r="I76" s="2" t="s">
        <v>1450</v>
      </c>
      <c r="J76" s="2" t="s">
        <v>1451</v>
      </c>
      <c r="K76" s="2" t="s">
        <v>1452</v>
      </c>
      <c r="L76" s="2" t="s">
        <v>22</v>
      </c>
      <c r="M76" s="2" t="s">
        <v>1191</v>
      </c>
      <c r="N76" s="2" t="s">
        <v>13</v>
      </c>
      <c r="O76" s="2" t="s">
        <v>1212</v>
      </c>
    </row>
    <row r="77" ht="86.4" spans="1:15">
      <c r="A77" s="2" t="s">
        <v>1453</v>
      </c>
      <c r="B77" s="2" t="s">
        <v>230</v>
      </c>
      <c r="C77" s="2" t="s">
        <v>1454</v>
      </c>
      <c r="D77" s="2" t="s">
        <v>1455</v>
      </c>
      <c r="E77" s="2" t="s">
        <v>1456</v>
      </c>
      <c r="F77" s="2" t="s">
        <v>1360</v>
      </c>
      <c r="G77" s="2" t="s">
        <v>1457</v>
      </c>
      <c r="H77" s="2" t="s">
        <v>1449</v>
      </c>
      <c r="I77" s="2" t="s">
        <v>1458</v>
      </c>
      <c r="J77" s="2" t="s">
        <v>1459</v>
      </c>
      <c r="K77" s="2" t="s">
        <v>1460</v>
      </c>
      <c r="L77" s="2" t="s">
        <v>22</v>
      </c>
      <c r="M77" s="2" t="s">
        <v>1191</v>
      </c>
      <c r="N77" s="2" t="s">
        <v>13</v>
      </c>
      <c r="O77" s="2" t="s">
        <v>1212</v>
      </c>
    </row>
    <row r="78" ht="86.4" spans="1:15">
      <c r="A78" s="2" t="s">
        <v>1461</v>
      </c>
      <c r="B78" s="2" t="s">
        <v>230</v>
      </c>
      <c r="C78" s="2" t="s">
        <v>1462</v>
      </c>
      <c r="D78" s="2" t="s">
        <v>1463</v>
      </c>
      <c r="E78" s="2" t="s">
        <v>1464</v>
      </c>
      <c r="F78" s="2" t="s">
        <v>1360</v>
      </c>
      <c r="G78" s="2" t="s">
        <v>1465</v>
      </c>
      <c r="H78" s="2" t="s">
        <v>1466</v>
      </c>
      <c r="I78" s="2" t="s">
        <v>1467</v>
      </c>
      <c r="J78" s="2" t="s">
        <v>1468</v>
      </c>
      <c r="K78" s="2" t="s">
        <v>1469</v>
      </c>
      <c r="L78" s="2" t="s">
        <v>22</v>
      </c>
      <c r="M78" s="2" t="s">
        <v>1191</v>
      </c>
      <c r="N78" s="2" t="s">
        <v>13</v>
      </c>
      <c r="O78" s="2" t="s">
        <v>1212</v>
      </c>
    </row>
    <row r="79" ht="86.4" spans="1:15">
      <c r="A79" s="2" t="s">
        <v>1470</v>
      </c>
      <c r="B79" s="2" t="s">
        <v>230</v>
      </c>
      <c r="C79" s="2" t="s">
        <v>1471</v>
      </c>
      <c r="D79" s="2" t="s">
        <v>1472</v>
      </c>
      <c r="E79" s="2" t="s">
        <v>1473</v>
      </c>
      <c r="F79" s="2" t="s">
        <v>1474</v>
      </c>
      <c r="G79" s="2" t="s">
        <v>1475</v>
      </c>
      <c r="H79" s="2" t="s">
        <v>1476</v>
      </c>
      <c r="I79" s="2" t="s">
        <v>1477</v>
      </c>
      <c r="J79" s="2" t="s">
        <v>1478</v>
      </c>
      <c r="K79" s="2" t="s">
        <v>1479</v>
      </c>
      <c r="L79" s="2" t="s">
        <v>22</v>
      </c>
      <c r="M79" s="2" t="s">
        <v>1191</v>
      </c>
      <c r="N79" s="2" t="s">
        <v>13</v>
      </c>
      <c r="O79" s="2" t="s">
        <v>1212</v>
      </c>
    </row>
    <row r="80" ht="100.8" spans="1:15">
      <c r="A80" s="2" t="s">
        <v>1480</v>
      </c>
      <c r="B80" s="2" t="s">
        <v>230</v>
      </c>
      <c r="C80" s="2" t="s">
        <v>1481</v>
      </c>
      <c r="D80" s="2" t="s">
        <v>1482</v>
      </c>
      <c r="E80" s="2" t="s">
        <v>1483</v>
      </c>
      <c r="F80" s="2" t="s">
        <v>1484</v>
      </c>
      <c r="G80" s="2" t="s">
        <v>1485</v>
      </c>
      <c r="H80" s="2" t="s">
        <v>1486</v>
      </c>
      <c r="I80" s="2" t="s">
        <v>1487</v>
      </c>
      <c r="J80" s="2" t="s">
        <v>1488</v>
      </c>
      <c r="K80" s="2" t="s">
        <v>1489</v>
      </c>
      <c r="L80" s="2" t="s">
        <v>22</v>
      </c>
      <c r="M80" s="2" t="s">
        <v>1191</v>
      </c>
      <c r="N80" s="2" t="s">
        <v>13</v>
      </c>
      <c r="O80" s="2" t="s">
        <v>833</v>
      </c>
    </row>
    <row r="81" ht="72" spans="1:15">
      <c r="A81" s="2" t="s">
        <v>1490</v>
      </c>
      <c r="B81" s="2" t="s">
        <v>230</v>
      </c>
      <c r="C81" s="2" t="s">
        <v>1491</v>
      </c>
      <c r="D81" s="2" t="s">
        <v>1492</v>
      </c>
      <c r="E81" s="2" t="s">
        <v>1493</v>
      </c>
      <c r="F81" s="2" t="s">
        <v>1494</v>
      </c>
      <c r="G81" s="2" t="s">
        <v>1495</v>
      </c>
      <c r="H81" s="2" t="s">
        <v>1496</v>
      </c>
      <c r="I81" s="2" t="s">
        <v>1497</v>
      </c>
      <c r="J81" s="2" t="s">
        <v>1498</v>
      </c>
      <c r="K81" s="2" t="s">
        <v>1499</v>
      </c>
      <c r="L81" s="2" t="s">
        <v>22</v>
      </c>
      <c r="M81" s="2" t="s">
        <v>1191</v>
      </c>
      <c r="N81" s="2" t="s">
        <v>13</v>
      </c>
      <c r="O81" s="2" t="s">
        <v>833</v>
      </c>
    </row>
    <row r="82" ht="86.4" spans="1:15">
      <c r="A82" s="2" t="s">
        <v>1500</v>
      </c>
      <c r="B82" s="2" t="s">
        <v>230</v>
      </c>
      <c r="C82" s="2" t="s">
        <v>1501</v>
      </c>
      <c r="D82" s="2" t="s">
        <v>1502</v>
      </c>
      <c r="E82" s="2" t="s">
        <v>1503</v>
      </c>
      <c r="F82" s="2" t="s">
        <v>1410</v>
      </c>
      <c r="G82" s="2" t="s">
        <v>1504</v>
      </c>
      <c r="H82" s="2" t="s">
        <v>1505</v>
      </c>
      <c r="I82" s="2" t="s">
        <v>1506</v>
      </c>
      <c r="J82" s="2" t="s">
        <v>1507</v>
      </c>
      <c r="K82" s="2" t="s">
        <v>1508</v>
      </c>
      <c r="L82" s="2" t="s">
        <v>22</v>
      </c>
      <c r="M82" s="2" t="s">
        <v>1191</v>
      </c>
      <c r="N82" s="2" t="s">
        <v>13</v>
      </c>
      <c r="O82" s="2" t="s">
        <v>833</v>
      </c>
    </row>
    <row r="83" ht="115.2" spans="1:15">
      <c r="A83" s="2" t="s">
        <v>1509</v>
      </c>
      <c r="B83" s="2" t="s">
        <v>230</v>
      </c>
      <c r="C83" s="2" t="s">
        <v>1510</v>
      </c>
      <c r="D83" s="2" t="s">
        <v>1511</v>
      </c>
      <c r="E83" s="2" t="s">
        <v>1512</v>
      </c>
      <c r="F83" s="2" t="s">
        <v>1513</v>
      </c>
      <c r="G83" s="2" t="s">
        <v>1514</v>
      </c>
      <c r="H83" s="2" t="s">
        <v>1486</v>
      </c>
      <c r="I83" s="2" t="s">
        <v>1515</v>
      </c>
      <c r="J83" s="2" t="s">
        <v>1516</v>
      </c>
      <c r="K83" s="2" t="s">
        <v>1517</v>
      </c>
      <c r="L83" s="2" t="s">
        <v>22</v>
      </c>
      <c r="M83" s="2" t="s">
        <v>1191</v>
      </c>
      <c r="N83" s="2" t="s">
        <v>13</v>
      </c>
      <c r="O83" s="2" t="s">
        <v>833</v>
      </c>
    </row>
    <row r="84" ht="100.8" spans="1:15">
      <c r="A84" s="2" t="s">
        <v>1518</v>
      </c>
      <c r="B84" s="2" t="s">
        <v>230</v>
      </c>
      <c r="C84" s="2" t="s">
        <v>1519</v>
      </c>
      <c r="D84" s="2" t="s">
        <v>1520</v>
      </c>
      <c r="E84" s="2" t="s">
        <v>1521</v>
      </c>
      <c r="F84" s="2" t="s">
        <v>1522</v>
      </c>
      <c r="G84" s="2" t="s">
        <v>1523</v>
      </c>
      <c r="H84" s="2" t="s">
        <v>1524</v>
      </c>
      <c r="I84" s="2" t="s">
        <v>1525</v>
      </c>
      <c r="J84" s="2" t="s">
        <v>1526</v>
      </c>
      <c r="K84" s="2" t="s">
        <v>1527</v>
      </c>
      <c r="L84" s="2" t="s">
        <v>23</v>
      </c>
      <c r="M84" s="2" t="s">
        <v>1191</v>
      </c>
      <c r="N84" s="2" t="s">
        <v>13</v>
      </c>
      <c r="O84" s="2" t="s">
        <v>833</v>
      </c>
    </row>
    <row r="85" ht="100.8" spans="1:15">
      <c r="A85" s="2" t="s">
        <v>1528</v>
      </c>
      <c r="B85" s="2" t="s">
        <v>230</v>
      </c>
      <c r="C85" s="2" t="s">
        <v>1529</v>
      </c>
      <c r="D85" s="2" t="s">
        <v>1530</v>
      </c>
      <c r="E85" s="2" t="s">
        <v>1531</v>
      </c>
      <c r="F85" s="2" t="s">
        <v>1532</v>
      </c>
      <c r="G85" s="2" t="s">
        <v>1533</v>
      </c>
      <c r="H85" s="2" t="s">
        <v>1534</v>
      </c>
      <c r="I85" s="2" t="s">
        <v>1535</v>
      </c>
      <c r="J85" s="2" t="s">
        <v>1536</v>
      </c>
      <c r="K85" s="2" t="s">
        <v>1537</v>
      </c>
      <c r="L85" s="2" t="s">
        <v>23</v>
      </c>
      <c r="M85" s="2" t="s">
        <v>1191</v>
      </c>
      <c r="N85" s="2" t="s">
        <v>13</v>
      </c>
      <c r="O85" s="2" t="s">
        <v>1212</v>
      </c>
    </row>
    <row r="86" ht="86.4" spans="1:15">
      <c r="A86" s="2" t="s">
        <v>1538</v>
      </c>
      <c r="B86" s="2" t="s">
        <v>230</v>
      </c>
      <c r="C86" s="2" t="s">
        <v>1539</v>
      </c>
      <c r="D86" s="2" t="s">
        <v>1540</v>
      </c>
      <c r="E86" s="2" t="s">
        <v>1541</v>
      </c>
      <c r="F86" s="2" t="s">
        <v>1542</v>
      </c>
      <c r="G86" s="2" t="s">
        <v>1543</v>
      </c>
      <c r="H86" s="2" t="s">
        <v>1544</v>
      </c>
      <c r="I86" s="2" t="s">
        <v>1545</v>
      </c>
      <c r="J86" s="2" t="s">
        <v>1546</v>
      </c>
      <c r="K86" s="2" t="s">
        <v>1547</v>
      </c>
      <c r="L86" s="2" t="s">
        <v>23</v>
      </c>
      <c r="M86" s="2" t="s">
        <v>1191</v>
      </c>
      <c r="N86" s="2" t="s">
        <v>13</v>
      </c>
      <c r="O86" s="2" t="s">
        <v>833</v>
      </c>
    </row>
    <row r="87" ht="115.2" spans="1:15">
      <c r="A87" s="2" t="s">
        <v>1548</v>
      </c>
      <c r="B87" s="2" t="s">
        <v>230</v>
      </c>
      <c r="C87" s="2" t="s">
        <v>1549</v>
      </c>
      <c r="D87" s="2" t="s">
        <v>1550</v>
      </c>
      <c r="E87" s="2" t="s">
        <v>1551</v>
      </c>
      <c r="F87" s="2" t="s">
        <v>1552</v>
      </c>
      <c r="G87" s="2" t="s">
        <v>1553</v>
      </c>
      <c r="H87" s="2" t="s">
        <v>1554</v>
      </c>
      <c r="I87" s="2" t="s">
        <v>1555</v>
      </c>
      <c r="J87" s="2" t="s">
        <v>1556</v>
      </c>
      <c r="K87" s="2" t="s">
        <v>1557</v>
      </c>
      <c r="L87" s="2" t="s">
        <v>23</v>
      </c>
      <c r="M87" s="2" t="s">
        <v>1191</v>
      </c>
      <c r="N87" s="2" t="s">
        <v>13</v>
      </c>
      <c r="O87" s="2" t="s">
        <v>833</v>
      </c>
    </row>
    <row r="88" ht="72" spans="1:15">
      <c r="A88" s="2" t="s">
        <v>1558</v>
      </c>
      <c r="B88" s="2" t="s">
        <v>178</v>
      </c>
      <c r="C88" s="2" t="s">
        <v>1559</v>
      </c>
      <c r="D88" s="2" t="s">
        <v>1560</v>
      </c>
      <c r="E88" s="2" t="s">
        <v>1561</v>
      </c>
      <c r="F88" s="2" t="s">
        <v>1562</v>
      </c>
      <c r="G88" s="2" t="s">
        <v>1563</v>
      </c>
      <c r="H88" s="2" t="s">
        <v>1187</v>
      </c>
      <c r="I88" s="2" t="s">
        <v>1564</v>
      </c>
      <c r="J88" s="2" t="s">
        <v>1565</v>
      </c>
      <c r="K88" s="2" t="s">
        <v>1566</v>
      </c>
      <c r="L88" s="2" t="s">
        <v>22</v>
      </c>
      <c r="M88" s="2" t="s">
        <v>1191</v>
      </c>
      <c r="N88" s="2" t="s">
        <v>13</v>
      </c>
      <c r="O88" s="2" t="s">
        <v>833</v>
      </c>
    </row>
    <row r="89" ht="72" spans="1:15">
      <c r="A89" s="2" t="s">
        <v>1567</v>
      </c>
      <c r="B89" s="2" t="s">
        <v>178</v>
      </c>
      <c r="C89" s="2" t="s">
        <v>1568</v>
      </c>
      <c r="D89" s="2" t="s">
        <v>1569</v>
      </c>
      <c r="E89" s="2" t="s">
        <v>1570</v>
      </c>
      <c r="F89" s="2" t="s">
        <v>1571</v>
      </c>
      <c r="G89" s="2" t="s">
        <v>1572</v>
      </c>
      <c r="H89" s="2" t="s">
        <v>1573</v>
      </c>
      <c r="I89" s="2" t="s">
        <v>1574</v>
      </c>
      <c r="J89" s="2" t="s">
        <v>1575</v>
      </c>
      <c r="K89" s="2" t="s">
        <v>1576</v>
      </c>
      <c r="L89" s="2" t="s">
        <v>22</v>
      </c>
      <c r="M89" s="2" t="s">
        <v>1191</v>
      </c>
      <c r="N89" s="2" t="s">
        <v>13</v>
      </c>
      <c r="O89" s="2" t="s">
        <v>833</v>
      </c>
    </row>
    <row r="90" ht="86.4" spans="1:15">
      <c r="A90" s="2" t="s">
        <v>1577</v>
      </c>
      <c r="B90" s="2" t="s">
        <v>178</v>
      </c>
      <c r="C90" s="2" t="s">
        <v>1578</v>
      </c>
      <c r="D90" s="2" t="s">
        <v>1579</v>
      </c>
      <c r="E90" s="2" t="s">
        <v>1580</v>
      </c>
      <c r="F90" s="2" t="s">
        <v>1571</v>
      </c>
      <c r="G90" s="2" t="s">
        <v>1581</v>
      </c>
      <c r="H90" s="2" t="s">
        <v>1582</v>
      </c>
      <c r="I90" s="2" t="s">
        <v>1583</v>
      </c>
      <c r="J90" s="2" t="s">
        <v>1584</v>
      </c>
      <c r="K90" s="2" t="s">
        <v>1585</v>
      </c>
      <c r="L90" s="2" t="s">
        <v>22</v>
      </c>
      <c r="M90" s="2" t="s">
        <v>1191</v>
      </c>
      <c r="N90" s="2" t="s">
        <v>13</v>
      </c>
      <c r="O90" s="2" t="s">
        <v>833</v>
      </c>
    </row>
    <row r="91" ht="86.4" spans="1:15">
      <c r="A91" s="2" t="s">
        <v>1586</v>
      </c>
      <c r="B91" s="2" t="s">
        <v>178</v>
      </c>
      <c r="C91" s="2" t="s">
        <v>1587</v>
      </c>
      <c r="D91" s="2" t="s">
        <v>1588</v>
      </c>
      <c r="E91" s="2" t="s">
        <v>1589</v>
      </c>
      <c r="F91" s="2" t="s">
        <v>1571</v>
      </c>
      <c r="G91" s="2" t="s">
        <v>1590</v>
      </c>
      <c r="H91" s="2" t="s">
        <v>1228</v>
      </c>
      <c r="I91" s="2" t="s">
        <v>1591</v>
      </c>
      <c r="J91" s="2" t="s">
        <v>1592</v>
      </c>
      <c r="K91" s="2" t="s">
        <v>1593</v>
      </c>
      <c r="L91" s="2" t="s">
        <v>22</v>
      </c>
      <c r="M91" s="2" t="s">
        <v>1191</v>
      </c>
      <c r="N91" s="2" t="s">
        <v>13</v>
      </c>
      <c r="O91" s="2" t="s">
        <v>833</v>
      </c>
    </row>
    <row r="92" ht="86.4" spans="1:15">
      <c r="A92" s="2" t="s">
        <v>1594</v>
      </c>
      <c r="B92" s="2" t="s">
        <v>178</v>
      </c>
      <c r="C92" s="2" t="s">
        <v>1595</v>
      </c>
      <c r="D92" s="2" t="s">
        <v>1596</v>
      </c>
      <c r="E92" s="2" t="s">
        <v>1597</v>
      </c>
      <c r="F92" s="2" t="s">
        <v>1571</v>
      </c>
      <c r="G92" s="2" t="s">
        <v>1598</v>
      </c>
      <c r="H92" s="2" t="s">
        <v>1599</v>
      </c>
      <c r="I92" s="2" t="s">
        <v>1600</v>
      </c>
      <c r="J92" s="2" t="s">
        <v>1601</v>
      </c>
      <c r="K92" s="2" t="s">
        <v>1602</v>
      </c>
      <c r="L92" s="2" t="s">
        <v>22</v>
      </c>
      <c r="M92" s="2" t="s">
        <v>1191</v>
      </c>
      <c r="N92" s="2" t="s">
        <v>13</v>
      </c>
      <c r="O92" s="2" t="s">
        <v>1212</v>
      </c>
    </row>
    <row r="93" ht="86.4" spans="1:15">
      <c r="A93" s="2" t="s">
        <v>1603</v>
      </c>
      <c r="B93" s="2" t="s">
        <v>178</v>
      </c>
      <c r="C93" s="2" t="s">
        <v>1604</v>
      </c>
      <c r="D93" s="2" t="s">
        <v>1605</v>
      </c>
      <c r="E93" s="2" t="s">
        <v>1606</v>
      </c>
      <c r="F93" s="2" t="s">
        <v>1571</v>
      </c>
      <c r="G93" s="2" t="s">
        <v>1607</v>
      </c>
      <c r="H93" s="2" t="s">
        <v>1608</v>
      </c>
      <c r="I93" s="2" t="s">
        <v>1609</v>
      </c>
      <c r="J93" s="2" t="s">
        <v>1610</v>
      </c>
      <c r="K93" s="2" t="s">
        <v>1611</v>
      </c>
      <c r="L93" s="2" t="s">
        <v>22</v>
      </c>
      <c r="M93" s="2" t="s">
        <v>1191</v>
      </c>
      <c r="N93" s="2" t="s">
        <v>13</v>
      </c>
      <c r="O93" s="2" t="s">
        <v>1212</v>
      </c>
    </row>
    <row r="94" ht="100.8" spans="1:15">
      <c r="A94" s="2" t="s">
        <v>1612</v>
      </c>
      <c r="B94" s="2" t="s">
        <v>178</v>
      </c>
      <c r="C94" s="2" t="s">
        <v>1613</v>
      </c>
      <c r="D94" s="2" t="s">
        <v>1614</v>
      </c>
      <c r="E94" s="2" t="s">
        <v>1615</v>
      </c>
      <c r="F94" s="2" t="s">
        <v>1571</v>
      </c>
      <c r="G94" s="2" t="s">
        <v>1616</v>
      </c>
      <c r="H94" s="2" t="s">
        <v>1617</v>
      </c>
      <c r="I94" s="2" t="s">
        <v>1618</v>
      </c>
      <c r="J94" s="2" t="s">
        <v>1619</v>
      </c>
      <c r="K94" s="2" t="s">
        <v>1620</v>
      </c>
      <c r="L94" s="2" t="s">
        <v>23</v>
      </c>
      <c r="M94" s="2" t="s">
        <v>1191</v>
      </c>
      <c r="N94" s="2" t="s">
        <v>13</v>
      </c>
      <c r="O94" s="2" t="s">
        <v>1212</v>
      </c>
    </row>
    <row r="95" ht="86.4" spans="1:15">
      <c r="A95" s="2" t="s">
        <v>1621</v>
      </c>
      <c r="B95" s="2" t="s">
        <v>178</v>
      </c>
      <c r="C95" s="2" t="s">
        <v>1622</v>
      </c>
      <c r="D95" s="2" t="s">
        <v>1623</v>
      </c>
      <c r="E95" s="2" t="s">
        <v>1624</v>
      </c>
      <c r="F95" s="2" t="s">
        <v>1571</v>
      </c>
      <c r="G95" s="2" t="s">
        <v>1625</v>
      </c>
      <c r="H95" s="2" t="s">
        <v>1626</v>
      </c>
      <c r="I95" s="2" t="s">
        <v>1627</v>
      </c>
      <c r="J95" s="2" t="s">
        <v>1628</v>
      </c>
      <c r="K95" s="2" t="s">
        <v>1629</v>
      </c>
      <c r="L95" s="2" t="s">
        <v>22</v>
      </c>
      <c r="M95" s="2" t="s">
        <v>1191</v>
      </c>
      <c r="N95" s="2" t="s">
        <v>13</v>
      </c>
      <c r="O95" s="2" t="s">
        <v>833</v>
      </c>
    </row>
    <row r="96" ht="86.4" spans="1:15">
      <c r="A96" s="2" t="s">
        <v>1630</v>
      </c>
      <c r="B96" s="2" t="s">
        <v>178</v>
      </c>
      <c r="C96" s="2" t="s">
        <v>1631</v>
      </c>
      <c r="D96" s="2" t="s">
        <v>1632</v>
      </c>
      <c r="E96" s="2" t="s">
        <v>1633</v>
      </c>
      <c r="F96" s="2" t="s">
        <v>1571</v>
      </c>
      <c r="G96" s="2" t="s">
        <v>1634</v>
      </c>
      <c r="H96" s="2" t="s">
        <v>1635</v>
      </c>
      <c r="I96" s="2" t="s">
        <v>1636</v>
      </c>
      <c r="J96" s="2" t="s">
        <v>1637</v>
      </c>
      <c r="K96" s="2" t="s">
        <v>1638</v>
      </c>
      <c r="L96" s="2" t="s">
        <v>22</v>
      </c>
      <c r="M96" s="2" t="s">
        <v>1191</v>
      </c>
      <c r="N96" s="2" t="s">
        <v>13</v>
      </c>
      <c r="O96" s="2" t="s">
        <v>833</v>
      </c>
    </row>
    <row r="97" ht="86.4" spans="1:15">
      <c r="A97" s="2" t="s">
        <v>1639</v>
      </c>
      <c r="B97" s="2" t="s">
        <v>178</v>
      </c>
      <c r="C97" s="2" t="s">
        <v>1640</v>
      </c>
      <c r="D97" s="2" t="s">
        <v>1641</v>
      </c>
      <c r="E97" s="2" t="s">
        <v>1642</v>
      </c>
      <c r="F97" s="2" t="s">
        <v>1571</v>
      </c>
      <c r="G97" s="2" t="s">
        <v>1643</v>
      </c>
      <c r="H97" s="2" t="s">
        <v>1644</v>
      </c>
      <c r="I97" s="2" t="s">
        <v>1645</v>
      </c>
      <c r="J97" s="2" t="s">
        <v>1646</v>
      </c>
      <c r="K97" s="2" t="s">
        <v>1647</v>
      </c>
      <c r="L97" s="2" t="s">
        <v>22</v>
      </c>
      <c r="M97" s="2" t="s">
        <v>1191</v>
      </c>
      <c r="N97" s="2" t="s">
        <v>13</v>
      </c>
      <c r="O97" s="2" t="s">
        <v>833</v>
      </c>
    </row>
    <row r="98" ht="86.4" spans="1:15">
      <c r="A98" s="2" t="s">
        <v>1648</v>
      </c>
      <c r="B98" s="2" t="s">
        <v>178</v>
      </c>
      <c r="C98" s="2" t="s">
        <v>1649</v>
      </c>
      <c r="D98" s="2" t="s">
        <v>1650</v>
      </c>
      <c r="E98" s="2" t="s">
        <v>1651</v>
      </c>
      <c r="F98" s="2" t="s">
        <v>1571</v>
      </c>
      <c r="G98" s="2" t="s">
        <v>1652</v>
      </c>
      <c r="H98" s="2" t="s">
        <v>1653</v>
      </c>
      <c r="I98" s="2" t="s">
        <v>1654</v>
      </c>
      <c r="J98" s="2" t="s">
        <v>1646</v>
      </c>
      <c r="K98" s="2" t="s">
        <v>1655</v>
      </c>
      <c r="L98" s="2" t="s">
        <v>22</v>
      </c>
      <c r="M98" s="2" t="s">
        <v>1191</v>
      </c>
      <c r="N98" s="2" t="s">
        <v>13</v>
      </c>
      <c r="O98" s="2" t="s">
        <v>833</v>
      </c>
    </row>
    <row r="99" ht="86.4" spans="1:15">
      <c r="A99" s="2" t="s">
        <v>1656</v>
      </c>
      <c r="B99" s="2" t="s">
        <v>178</v>
      </c>
      <c r="C99" s="2" t="s">
        <v>1657</v>
      </c>
      <c r="D99" s="2" t="s">
        <v>1658</v>
      </c>
      <c r="E99" s="2" t="s">
        <v>1659</v>
      </c>
      <c r="F99" s="2" t="s">
        <v>1571</v>
      </c>
      <c r="G99" s="2" t="s">
        <v>1660</v>
      </c>
      <c r="H99" s="2" t="s">
        <v>1661</v>
      </c>
      <c r="I99" s="2" t="s">
        <v>1662</v>
      </c>
      <c r="J99" s="2" t="s">
        <v>1663</v>
      </c>
      <c r="K99" s="2" t="s">
        <v>1664</v>
      </c>
      <c r="L99" s="2" t="s">
        <v>22</v>
      </c>
      <c r="M99" s="2" t="s">
        <v>1191</v>
      </c>
      <c r="N99" s="2" t="s">
        <v>13</v>
      </c>
      <c r="O99" s="2" t="s">
        <v>833</v>
      </c>
    </row>
    <row r="100" ht="72" spans="1:15">
      <c r="A100" s="2" t="s">
        <v>1665</v>
      </c>
      <c r="B100" s="2" t="s">
        <v>178</v>
      </c>
      <c r="C100" s="2" t="s">
        <v>1666</v>
      </c>
      <c r="D100" s="2" t="s">
        <v>1667</v>
      </c>
      <c r="E100" s="2" t="s">
        <v>1668</v>
      </c>
      <c r="F100" s="2" t="s">
        <v>1571</v>
      </c>
      <c r="G100" s="2" t="s">
        <v>1669</v>
      </c>
      <c r="H100" s="2" t="s">
        <v>1670</v>
      </c>
      <c r="I100" s="2" t="s">
        <v>1671</v>
      </c>
      <c r="J100" s="2" t="s">
        <v>1672</v>
      </c>
      <c r="K100" s="2" t="s">
        <v>1673</v>
      </c>
      <c r="L100" s="2" t="s">
        <v>22</v>
      </c>
      <c r="M100" s="2" t="s">
        <v>1191</v>
      </c>
      <c r="N100" s="2" t="s">
        <v>13</v>
      </c>
      <c r="O100" s="2" t="s">
        <v>833</v>
      </c>
    </row>
    <row r="101" ht="86.4" spans="1:15">
      <c r="A101" s="2" t="s">
        <v>1674</v>
      </c>
      <c r="B101" s="2" t="s">
        <v>178</v>
      </c>
      <c r="C101" s="2" t="s">
        <v>1675</v>
      </c>
      <c r="D101" s="2" t="s">
        <v>1676</v>
      </c>
      <c r="E101" s="2" t="s">
        <v>1677</v>
      </c>
      <c r="F101" s="2" t="s">
        <v>1571</v>
      </c>
      <c r="G101" s="2" t="s">
        <v>1678</v>
      </c>
      <c r="H101" s="2" t="s">
        <v>1679</v>
      </c>
      <c r="I101" s="2" t="s">
        <v>1680</v>
      </c>
      <c r="J101" s="2" t="s">
        <v>1681</v>
      </c>
      <c r="K101" s="2" t="s">
        <v>1682</v>
      </c>
      <c r="L101" s="2" t="s">
        <v>22</v>
      </c>
      <c r="M101" s="2" t="s">
        <v>1191</v>
      </c>
      <c r="N101" s="2" t="s">
        <v>13</v>
      </c>
      <c r="O101" s="2" t="s">
        <v>833</v>
      </c>
    </row>
    <row r="102" ht="86.4" spans="1:15">
      <c r="A102" s="2" t="s">
        <v>1683</v>
      </c>
      <c r="B102" s="2" t="s">
        <v>178</v>
      </c>
      <c r="C102" s="2" t="s">
        <v>1684</v>
      </c>
      <c r="D102" s="2" t="s">
        <v>1685</v>
      </c>
      <c r="E102" s="2" t="s">
        <v>1686</v>
      </c>
      <c r="F102" s="2" t="s">
        <v>1571</v>
      </c>
      <c r="G102" s="2" t="s">
        <v>1687</v>
      </c>
      <c r="H102" s="2" t="s">
        <v>1688</v>
      </c>
      <c r="I102" s="2" t="s">
        <v>1689</v>
      </c>
      <c r="J102" s="2" t="s">
        <v>1681</v>
      </c>
      <c r="K102" s="2" t="s">
        <v>1690</v>
      </c>
      <c r="L102" s="2" t="s">
        <v>22</v>
      </c>
      <c r="M102" s="2" t="s">
        <v>1191</v>
      </c>
      <c r="N102" s="2" t="s">
        <v>13</v>
      </c>
      <c r="O102" s="2" t="s">
        <v>833</v>
      </c>
    </row>
    <row r="103" ht="72" spans="1:15">
      <c r="A103" s="2" t="s">
        <v>1691</v>
      </c>
      <c r="B103" s="2" t="s">
        <v>178</v>
      </c>
      <c r="C103" s="2" t="s">
        <v>1692</v>
      </c>
      <c r="D103" s="2" t="s">
        <v>1693</v>
      </c>
      <c r="E103" s="2" t="s">
        <v>1694</v>
      </c>
      <c r="F103" s="2" t="s">
        <v>1571</v>
      </c>
      <c r="G103" s="2" t="s">
        <v>1695</v>
      </c>
      <c r="H103" s="2" t="s">
        <v>1696</v>
      </c>
      <c r="I103" s="2" t="s">
        <v>1697</v>
      </c>
      <c r="J103" s="2" t="s">
        <v>1698</v>
      </c>
      <c r="K103" s="2" t="s">
        <v>1699</v>
      </c>
      <c r="L103" s="2" t="s">
        <v>22</v>
      </c>
      <c r="M103" s="2" t="s">
        <v>1191</v>
      </c>
      <c r="N103" s="2" t="s">
        <v>13</v>
      </c>
      <c r="O103" s="2" t="s">
        <v>833</v>
      </c>
    </row>
    <row r="104" ht="86.4" spans="1:15">
      <c r="A104" s="2" t="s">
        <v>1700</v>
      </c>
      <c r="B104" s="2" t="s">
        <v>178</v>
      </c>
      <c r="C104" s="2" t="s">
        <v>1701</v>
      </c>
      <c r="D104" s="2" t="s">
        <v>1702</v>
      </c>
      <c r="E104" s="2" t="s">
        <v>1703</v>
      </c>
      <c r="F104" s="2" t="s">
        <v>1571</v>
      </c>
      <c r="G104" s="2" t="s">
        <v>1704</v>
      </c>
      <c r="H104" s="2" t="s">
        <v>1705</v>
      </c>
      <c r="I104" s="2" t="s">
        <v>1706</v>
      </c>
      <c r="J104" s="2" t="s">
        <v>1707</v>
      </c>
      <c r="K104" s="2" t="s">
        <v>1708</v>
      </c>
      <c r="L104" s="2" t="s">
        <v>22</v>
      </c>
      <c r="M104" s="2" t="s">
        <v>1191</v>
      </c>
      <c r="N104" s="2" t="s">
        <v>13</v>
      </c>
      <c r="O104" s="2" t="s">
        <v>833</v>
      </c>
    </row>
    <row r="105" ht="86.4" spans="1:15">
      <c r="A105" s="2" t="s">
        <v>1709</v>
      </c>
      <c r="B105" s="2" t="s">
        <v>178</v>
      </c>
      <c r="C105" s="2" t="s">
        <v>1710</v>
      </c>
      <c r="D105" s="2" t="s">
        <v>1711</v>
      </c>
      <c r="E105" s="2" t="s">
        <v>1712</v>
      </c>
      <c r="F105" s="2" t="s">
        <v>1571</v>
      </c>
      <c r="G105" s="2" t="s">
        <v>1713</v>
      </c>
      <c r="H105" s="2" t="s">
        <v>1714</v>
      </c>
      <c r="I105" s="2" t="s">
        <v>1715</v>
      </c>
      <c r="J105" s="2" t="s">
        <v>1716</v>
      </c>
      <c r="K105" s="2" t="s">
        <v>1717</v>
      </c>
      <c r="L105" s="2" t="s">
        <v>22</v>
      </c>
      <c r="M105" s="2" t="s">
        <v>1191</v>
      </c>
      <c r="N105" s="2" t="s">
        <v>13</v>
      </c>
      <c r="O105" s="2" t="s">
        <v>1212</v>
      </c>
    </row>
    <row r="106" ht="86.4" spans="1:15">
      <c r="A106" s="2" t="s">
        <v>1718</v>
      </c>
      <c r="B106" s="2" t="s">
        <v>178</v>
      </c>
      <c r="C106" s="2" t="s">
        <v>1719</v>
      </c>
      <c r="D106" s="2" t="s">
        <v>1720</v>
      </c>
      <c r="E106" s="2" t="s">
        <v>1721</v>
      </c>
      <c r="F106" s="2" t="s">
        <v>1571</v>
      </c>
      <c r="G106" s="2" t="s">
        <v>1722</v>
      </c>
      <c r="H106" s="2" t="s">
        <v>1723</v>
      </c>
      <c r="I106" s="2" t="s">
        <v>1724</v>
      </c>
      <c r="J106" s="2" t="s">
        <v>1725</v>
      </c>
      <c r="K106" s="2" t="s">
        <v>1726</v>
      </c>
      <c r="L106" s="2" t="s">
        <v>22</v>
      </c>
      <c r="M106" s="2" t="s">
        <v>1191</v>
      </c>
      <c r="N106" s="2" t="s">
        <v>13</v>
      </c>
      <c r="O106" s="2" t="s">
        <v>1212</v>
      </c>
    </row>
    <row r="107" ht="86.4" spans="1:15">
      <c r="A107" s="2" t="s">
        <v>1727</v>
      </c>
      <c r="B107" s="2" t="s">
        <v>178</v>
      </c>
      <c r="C107" s="2" t="s">
        <v>1728</v>
      </c>
      <c r="D107" s="2" t="s">
        <v>1729</v>
      </c>
      <c r="E107" s="2" t="s">
        <v>1730</v>
      </c>
      <c r="F107" s="2" t="s">
        <v>1571</v>
      </c>
      <c r="G107" s="2" t="s">
        <v>1731</v>
      </c>
      <c r="H107" s="2" t="s">
        <v>1732</v>
      </c>
      <c r="I107" s="2" t="s">
        <v>1733</v>
      </c>
      <c r="J107" s="2" t="s">
        <v>1698</v>
      </c>
      <c r="K107" s="2" t="s">
        <v>1734</v>
      </c>
      <c r="L107" s="2" t="s">
        <v>22</v>
      </c>
      <c r="M107" s="2" t="s">
        <v>1191</v>
      </c>
      <c r="N107" s="2" t="s">
        <v>13</v>
      </c>
      <c r="O107" s="2" t="s">
        <v>833</v>
      </c>
    </row>
    <row r="108" ht="100.8" spans="1:15">
      <c r="A108" s="2" t="s">
        <v>1735</v>
      </c>
      <c r="B108" s="2" t="s">
        <v>178</v>
      </c>
      <c r="C108" s="2" t="s">
        <v>1736</v>
      </c>
      <c r="D108" s="2" t="s">
        <v>1737</v>
      </c>
      <c r="E108" s="2" t="s">
        <v>1738</v>
      </c>
      <c r="F108" s="2" t="s">
        <v>1739</v>
      </c>
      <c r="G108" s="2" t="s">
        <v>1740</v>
      </c>
      <c r="H108" s="2" t="s">
        <v>1741</v>
      </c>
      <c r="I108" s="2" t="s">
        <v>1742</v>
      </c>
      <c r="J108" s="2" t="s">
        <v>1743</v>
      </c>
      <c r="K108" s="2" t="s">
        <v>1744</v>
      </c>
      <c r="L108" s="2" t="s">
        <v>22</v>
      </c>
      <c r="M108" s="2" t="s">
        <v>1191</v>
      </c>
      <c r="N108" s="2" t="s">
        <v>13</v>
      </c>
      <c r="O108" s="2" t="s">
        <v>833</v>
      </c>
    </row>
    <row r="109" ht="86.4" spans="1:15">
      <c r="A109" s="2" t="s">
        <v>1745</v>
      </c>
      <c r="B109" s="2" t="s">
        <v>178</v>
      </c>
      <c r="C109" s="2" t="s">
        <v>1746</v>
      </c>
      <c r="D109" s="2" t="s">
        <v>1747</v>
      </c>
      <c r="E109" s="2" t="s">
        <v>1748</v>
      </c>
      <c r="F109" s="2" t="s">
        <v>1571</v>
      </c>
      <c r="G109" s="2" t="s">
        <v>1749</v>
      </c>
      <c r="H109" s="2" t="s">
        <v>1750</v>
      </c>
      <c r="I109" s="2" t="s">
        <v>1751</v>
      </c>
      <c r="J109" s="2" t="s">
        <v>1752</v>
      </c>
      <c r="K109" s="2" t="s">
        <v>1753</v>
      </c>
      <c r="L109" s="2" t="s">
        <v>23</v>
      </c>
      <c r="M109" s="2" t="s">
        <v>1191</v>
      </c>
      <c r="N109" s="2" t="s">
        <v>13</v>
      </c>
      <c r="O109" s="2" t="s">
        <v>833</v>
      </c>
    </row>
    <row r="110" ht="86.4" spans="1:15">
      <c r="A110" s="2" t="s">
        <v>1754</v>
      </c>
      <c r="B110" s="2" t="s">
        <v>178</v>
      </c>
      <c r="C110" s="2" t="s">
        <v>1755</v>
      </c>
      <c r="D110" s="2" t="s">
        <v>1756</v>
      </c>
      <c r="E110" s="2" t="s">
        <v>1757</v>
      </c>
      <c r="F110" s="2" t="s">
        <v>1571</v>
      </c>
      <c r="G110" s="2" t="s">
        <v>1758</v>
      </c>
      <c r="H110" s="2" t="s">
        <v>1759</v>
      </c>
      <c r="I110" s="2" t="s">
        <v>1760</v>
      </c>
      <c r="J110" s="2" t="s">
        <v>1761</v>
      </c>
      <c r="K110" s="2" t="s">
        <v>1762</v>
      </c>
      <c r="L110" s="2" t="s">
        <v>23</v>
      </c>
      <c r="M110" s="2" t="s">
        <v>1191</v>
      </c>
      <c r="N110" s="2" t="s">
        <v>13</v>
      </c>
      <c r="O110" s="2" t="s">
        <v>1212</v>
      </c>
    </row>
    <row r="111" ht="86.4" spans="1:15">
      <c r="A111" s="2" t="s">
        <v>1763</v>
      </c>
      <c r="B111" s="2" t="s">
        <v>178</v>
      </c>
      <c r="C111" s="2" t="s">
        <v>1764</v>
      </c>
      <c r="D111" s="2" t="s">
        <v>1765</v>
      </c>
      <c r="E111" s="2" t="s">
        <v>1766</v>
      </c>
      <c r="F111" s="2" t="s">
        <v>1571</v>
      </c>
      <c r="G111" s="2" t="s">
        <v>1767</v>
      </c>
      <c r="H111" s="2" t="s">
        <v>1768</v>
      </c>
      <c r="I111" s="2" t="s">
        <v>1769</v>
      </c>
      <c r="J111" s="2" t="s">
        <v>1761</v>
      </c>
      <c r="K111" s="2" t="s">
        <v>1770</v>
      </c>
      <c r="L111" s="2" t="s">
        <v>23</v>
      </c>
      <c r="M111" s="2" t="s">
        <v>1191</v>
      </c>
      <c r="N111" s="2" t="s">
        <v>13</v>
      </c>
      <c r="O111" s="2" t="s">
        <v>1212</v>
      </c>
    </row>
    <row r="112" ht="86.4" spans="1:15">
      <c r="A112" s="2" t="s">
        <v>1771</v>
      </c>
      <c r="B112" s="2" t="s">
        <v>178</v>
      </c>
      <c r="C112" s="2" t="s">
        <v>1772</v>
      </c>
      <c r="D112" s="2" t="s">
        <v>1773</v>
      </c>
      <c r="E112" s="2" t="s">
        <v>1774</v>
      </c>
      <c r="F112" s="2" t="s">
        <v>1571</v>
      </c>
      <c r="G112" s="2" t="s">
        <v>1775</v>
      </c>
      <c r="H112" s="2" t="s">
        <v>1776</v>
      </c>
      <c r="I112" s="2" t="s">
        <v>1777</v>
      </c>
      <c r="J112" s="2" t="s">
        <v>1761</v>
      </c>
      <c r="K112" s="2" t="s">
        <v>1778</v>
      </c>
      <c r="L112" s="2" t="s">
        <v>23</v>
      </c>
      <c r="M112" s="2" t="s">
        <v>1191</v>
      </c>
      <c r="N112" s="2" t="s">
        <v>13</v>
      </c>
      <c r="O112" s="2" t="s">
        <v>1212</v>
      </c>
    </row>
    <row r="113" ht="86.4" spans="1:15">
      <c r="A113" s="2" t="s">
        <v>1779</v>
      </c>
      <c r="B113" s="2" t="s">
        <v>178</v>
      </c>
      <c r="C113" s="2" t="s">
        <v>1780</v>
      </c>
      <c r="D113" s="2" t="s">
        <v>1781</v>
      </c>
      <c r="E113" s="2" t="s">
        <v>1782</v>
      </c>
      <c r="F113" s="2" t="s">
        <v>1571</v>
      </c>
      <c r="G113" s="2" t="s">
        <v>1783</v>
      </c>
      <c r="H113" s="2" t="s">
        <v>1784</v>
      </c>
      <c r="I113" s="2" t="s">
        <v>1785</v>
      </c>
      <c r="J113" s="2" t="s">
        <v>1786</v>
      </c>
      <c r="K113" s="2" t="s">
        <v>1787</v>
      </c>
      <c r="L113" s="2" t="s">
        <v>22</v>
      </c>
      <c r="M113" s="2" t="s">
        <v>1191</v>
      </c>
      <c r="N113" s="2" t="s">
        <v>13</v>
      </c>
      <c r="O113" s="2" t="s">
        <v>833</v>
      </c>
    </row>
    <row r="114" ht="72" spans="1:15">
      <c r="A114" s="2" t="s">
        <v>1788</v>
      </c>
      <c r="B114" s="2" t="s">
        <v>178</v>
      </c>
      <c r="C114" s="2" t="s">
        <v>1789</v>
      </c>
      <c r="D114" s="2" t="s">
        <v>1790</v>
      </c>
      <c r="E114" s="2" t="s">
        <v>1791</v>
      </c>
      <c r="F114" s="2" t="s">
        <v>1571</v>
      </c>
      <c r="G114" s="2" t="s">
        <v>1792</v>
      </c>
      <c r="H114" s="2" t="s">
        <v>1793</v>
      </c>
      <c r="I114" s="2" t="s">
        <v>1794</v>
      </c>
      <c r="J114" s="2" t="s">
        <v>1786</v>
      </c>
      <c r="K114" s="2" t="s">
        <v>1795</v>
      </c>
      <c r="L114" s="2" t="s">
        <v>22</v>
      </c>
      <c r="M114" s="2" t="s">
        <v>1191</v>
      </c>
      <c r="N114" s="2" t="s">
        <v>13</v>
      </c>
      <c r="O114" s="2" t="s">
        <v>1212</v>
      </c>
    </row>
    <row r="115" ht="72" spans="1:15">
      <c r="A115" s="2" t="s">
        <v>1796</v>
      </c>
      <c r="B115" s="2" t="s">
        <v>178</v>
      </c>
      <c r="C115" s="2" t="s">
        <v>1797</v>
      </c>
      <c r="D115" s="2" t="s">
        <v>1798</v>
      </c>
      <c r="E115" s="2" t="s">
        <v>1799</v>
      </c>
      <c r="F115" s="2" t="s">
        <v>1571</v>
      </c>
      <c r="G115" s="2" t="s">
        <v>1800</v>
      </c>
      <c r="H115" s="2" t="s">
        <v>1801</v>
      </c>
      <c r="I115" s="2" t="s">
        <v>1802</v>
      </c>
      <c r="J115" s="2" t="s">
        <v>1786</v>
      </c>
      <c r="K115" s="2" t="s">
        <v>1803</v>
      </c>
      <c r="L115" s="2" t="s">
        <v>22</v>
      </c>
      <c r="M115" s="2" t="s">
        <v>1191</v>
      </c>
      <c r="N115" s="2" t="s">
        <v>13</v>
      </c>
      <c r="O115" s="2" t="s">
        <v>833</v>
      </c>
    </row>
    <row r="116" ht="86.4" spans="1:15">
      <c r="A116" s="2" t="s">
        <v>1804</v>
      </c>
      <c r="B116" s="2" t="s">
        <v>178</v>
      </c>
      <c r="C116" s="2" t="s">
        <v>1805</v>
      </c>
      <c r="D116" s="2" t="s">
        <v>1806</v>
      </c>
      <c r="E116" s="2" t="s">
        <v>1807</v>
      </c>
      <c r="F116" s="2" t="s">
        <v>1571</v>
      </c>
      <c r="G116" s="2" t="s">
        <v>1808</v>
      </c>
      <c r="H116" s="2" t="s">
        <v>1809</v>
      </c>
      <c r="I116" s="2" t="s">
        <v>1810</v>
      </c>
      <c r="J116" s="2" t="s">
        <v>1786</v>
      </c>
      <c r="K116" s="2" t="s">
        <v>1811</v>
      </c>
      <c r="L116" s="2" t="s">
        <v>22</v>
      </c>
      <c r="M116" s="2" t="s">
        <v>1191</v>
      </c>
      <c r="N116" s="2" t="s">
        <v>13</v>
      </c>
      <c r="O116" s="2" t="s">
        <v>1212</v>
      </c>
    </row>
    <row r="117" ht="57.6" spans="1:15">
      <c r="A117" s="2" t="s">
        <v>1812</v>
      </c>
      <c r="B117" s="2" t="s">
        <v>178</v>
      </c>
      <c r="C117" s="2" t="s">
        <v>1813</v>
      </c>
      <c r="D117" s="2" t="s">
        <v>1814</v>
      </c>
      <c r="E117" s="2" t="s">
        <v>1815</v>
      </c>
      <c r="F117" s="2" t="s">
        <v>1571</v>
      </c>
      <c r="G117" s="2" t="s">
        <v>1816</v>
      </c>
      <c r="H117" s="2" t="s">
        <v>1817</v>
      </c>
      <c r="I117" s="2" t="s">
        <v>1818</v>
      </c>
      <c r="J117" s="2" t="s">
        <v>1786</v>
      </c>
      <c r="K117" s="2" t="s">
        <v>1819</v>
      </c>
      <c r="L117" s="2" t="s">
        <v>22</v>
      </c>
      <c r="M117" s="2" t="s">
        <v>1191</v>
      </c>
      <c r="N117" s="2" t="s">
        <v>13</v>
      </c>
      <c r="O117" s="2" t="s">
        <v>833</v>
      </c>
    </row>
    <row r="118" ht="57.6" spans="1:15">
      <c r="A118" s="2" t="s">
        <v>1820</v>
      </c>
      <c r="B118" s="2" t="s">
        <v>178</v>
      </c>
      <c r="C118" s="2" t="s">
        <v>1821</v>
      </c>
      <c r="D118" s="2" t="s">
        <v>1822</v>
      </c>
      <c r="E118" s="2" t="s">
        <v>1823</v>
      </c>
      <c r="F118" s="2" t="s">
        <v>1571</v>
      </c>
      <c r="G118" s="2" t="s">
        <v>1824</v>
      </c>
      <c r="H118" s="2" t="s">
        <v>1825</v>
      </c>
      <c r="I118" s="2" t="s">
        <v>1826</v>
      </c>
      <c r="J118" s="2" t="s">
        <v>1827</v>
      </c>
      <c r="K118" s="2" t="s">
        <v>1828</v>
      </c>
      <c r="L118" s="2" t="s">
        <v>22</v>
      </c>
      <c r="M118" s="2" t="s">
        <v>1191</v>
      </c>
      <c r="N118" s="2" t="s">
        <v>13</v>
      </c>
      <c r="O118" s="2" t="s">
        <v>833</v>
      </c>
    </row>
    <row r="119" ht="72" spans="1:15">
      <c r="A119" s="2" t="s">
        <v>1829</v>
      </c>
      <c r="B119" s="2" t="s">
        <v>178</v>
      </c>
      <c r="C119" s="2" t="s">
        <v>1830</v>
      </c>
      <c r="D119" s="2" t="s">
        <v>1831</v>
      </c>
      <c r="E119" s="2" t="s">
        <v>1832</v>
      </c>
      <c r="F119" s="2" t="s">
        <v>1571</v>
      </c>
      <c r="G119" s="2" t="s">
        <v>1833</v>
      </c>
      <c r="H119" s="2" t="s">
        <v>1834</v>
      </c>
      <c r="I119" s="2" t="s">
        <v>1835</v>
      </c>
      <c r="J119" s="2" t="s">
        <v>1836</v>
      </c>
      <c r="K119" s="2" t="s">
        <v>1837</v>
      </c>
      <c r="L119" s="2" t="s">
        <v>23</v>
      </c>
      <c r="M119" s="2" t="s">
        <v>1191</v>
      </c>
      <c r="N119" s="2" t="s">
        <v>13</v>
      </c>
      <c r="O119" s="2" t="s">
        <v>833</v>
      </c>
    </row>
    <row r="120" ht="57.6" spans="1:15">
      <c r="A120" s="2" t="s">
        <v>1838</v>
      </c>
      <c r="B120" s="2" t="s">
        <v>178</v>
      </c>
      <c r="C120" s="2" t="s">
        <v>1839</v>
      </c>
      <c r="D120" s="2" t="s">
        <v>1840</v>
      </c>
      <c r="E120" s="2" t="s">
        <v>1841</v>
      </c>
      <c r="F120" s="2" t="s">
        <v>1571</v>
      </c>
      <c r="G120" s="2" t="s">
        <v>1842</v>
      </c>
      <c r="H120" s="2" t="s">
        <v>1843</v>
      </c>
      <c r="I120" s="2" t="s">
        <v>1844</v>
      </c>
      <c r="J120" s="2" t="s">
        <v>1845</v>
      </c>
      <c r="K120" s="2" t="s">
        <v>1846</v>
      </c>
      <c r="L120" s="2" t="s">
        <v>22</v>
      </c>
      <c r="M120" s="2" t="s">
        <v>1191</v>
      </c>
      <c r="N120" s="2" t="s">
        <v>13</v>
      </c>
      <c r="O120" s="2" t="s">
        <v>1212</v>
      </c>
    </row>
    <row r="121" ht="43.2" spans="1:15">
      <c r="A121" s="2" t="s">
        <v>1847</v>
      </c>
      <c r="B121" s="2" t="s">
        <v>178</v>
      </c>
      <c r="C121" s="2" t="s">
        <v>1848</v>
      </c>
      <c r="D121" s="2" t="s">
        <v>1849</v>
      </c>
      <c r="E121" s="2" t="s">
        <v>1850</v>
      </c>
      <c r="F121" s="2" t="s">
        <v>1851</v>
      </c>
      <c r="G121" s="2" t="s">
        <v>1852</v>
      </c>
      <c r="H121" s="2" t="s">
        <v>1853</v>
      </c>
      <c r="I121" s="2" t="s">
        <v>1854</v>
      </c>
      <c r="J121" s="2" t="s">
        <v>1855</v>
      </c>
      <c r="K121" s="2" t="s">
        <v>1856</v>
      </c>
      <c r="L121" s="2" t="s">
        <v>22</v>
      </c>
      <c r="M121" s="2" t="s">
        <v>1191</v>
      </c>
      <c r="N121" s="2" t="s">
        <v>13</v>
      </c>
      <c r="O121" s="2" t="s">
        <v>1212</v>
      </c>
    </row>
    <row r="122" ht="43.2" spans="1:15">
      <c r="A122" s="2" t="s">
        <v>1857</v>
      </c>
      <c r="B122" s="2" t="s">
        <v>178</v>
      </c>
      <c r="C122" s="2" t="s">
        <v>1858</v>
      </c>
      <c r="D122" s="2" t="s">
        <v>1859</v>
      </c>
      <c r="E122" s="2" t="s">
        <v>1860</v>
      </c>
      <c r="F122" s="2" t="s">
        <v>1861</v>
      </c>
      <c r="G122" s="2" t="s">
        <v>1862</v>
      </c>
      <c r="H122" s="2" t="s">
        <v>1863</v>
      </c>
      <c r="I122" s="2" t="s">
        <v>1864</v>
      </c>
      <c r="J122" s="2" t="s">
        <v>1865</v>
      </c>
      <c r="K122" s="2" t="s">
        <v>1866</v>
      </c>
      <c r="L122" s="2" t="s">
        <v>22</v>
      </c>
      <c r="M122" s="2" t="s">
        <v>1191</v>
      </c>
      <c r="N122" s="2" t="s">
        <v>13</v>
      </c>
      <c r="O122" s="2" t="s">
        <v>833</v>
      </c>
    </row>
    <row r="123" ht="43.2" spans="1:15">
      <c r="A123" s="2" t="s">
        <v>1867</v>
      </c>
      <c r="B123" s="2" t="s">
        <v>178</v>
      </c>
      <c r="C123" s="2" t="s">
        <v>1868</v>
      </c>
      <c r="D123" s="2" t="s">
        <v>1869</v>
      </c>
      <c r="E123" s="2" t="s">
        <v>1870</v>
      </c>
      <c r="F123" s="2" t="s">
        <v>1571</v>
      </c>
      <c r="G123" s="2" t="s">
        <v>1871</v>
      </c>
      <c r="H123" s="2" t="s">
        <v>1872</v>
      </c>
      <c r="I123" s="2" t="s">
        <v>1873</v>
      </c>
      <c r="J123" s="2" t="s">
        <v>1681</v>
      </c>
      <c r="K123" s="2" t="s">
        <v>1874</v>
      </c>
      <c r="L123" s="2" t="s">
        <v>22</v>
      </c>
      <c r="M123" s="2" t="s">
        <v>1191</v>
      </c>
      <c r="N123" s="2" t="s">
        <v>13</v>
      </c>
      <c r="O123" s="2" t="s">
        <v>833</v>
      </c>
    </row>
    <row r="124" ht="43.2" spans="1:15">
      <c r="A124" s="2" t="s">
        <v>1875</v>
      </c>
      <c r="B124" s="2" t="s">
        <v>178</v>
      </c>
      <c r="C124" s="2" t="s">
        <v>1876</v>
      </c>
      <c r="D124" s="2" t="s">
        <v>1877</v>
      </c>
      <c r="E124" s="2" t="s">
        <v>1878</v>
      </c>
      <c r="F124" s="2" t="s">
        <v>1571</v>
      </c>
      <c r="G124" s="2" t="s">
        <v>1879</v>
      </c>
      <c r="H124" s="2" t="s">
        <v>1880</v>
      </c>
      <c r="I124" s="2" t="s">
        <v>1881</v>
      </c>
      <c r="J124" s="2" t="s">
        <v>1592</v>
      </c>
      <c r="K124" s="2" t="s">
        <v>1882</v>
      </c>
      <c r="L124" s="2" t="s">
        <v>22</v>
      </c>
      <c r="M124" s="2" t="s">
        <v>1191</v>
      </c>
      <c r="N124" s="2" t="s">
        <v>13</v>
      </c>
      <c r="O124" s="2" t="s">
        <v>1212</v>
      </c>
    </row>
    <row r="125" ht="57.6" spans="1:15">
      <c r="A125" s="2" t="s">
        <v>1883</v>
      </c>
      <c r="B125" s="2" t="s">
        <v>178</v>
      </c>
      <c r="C125" s="2" t="s">
        <v>1884</v>
      </c>
      <c r="D125" s="2" t="s">
        <v>1885</v>
      </c>
      <c r="E125" s="2" t="s">
        <v>1886</v>
      </c>
      <c r="F125" s="2" t="s">
        <v>1861</v>
      </c>
      <c r="G125" s="2" t="s">
        <v>1887</v>
      </c>
      <c r="H125" s="2" t="s">
        <v>1863</v>
      </c>
      <c r="I125" s="2" t="s">
        <v>1888</v>
      </c>
      <c r="J125" s="2" t="s">
        <v>1889</v>
      </c>
      <c r="K125" s="2" t="s">
        <v>1890</v>
      </c>
      <c r="L125" s="2" t="s">
        <v>22</v>
      </c>
      <c r="M125" s="2" t="s">
        <v>1191</v>
      </c>
      <c r="N125" s="2" t="s">
        <v>13</v>
      </c>
      <c r="O125" s="2" t="s">
        <v>833</v>
      </c>
    </row>
    <row r="126" ht="43.2" spans="1:15">
      <c r="A126" s="2" t="s">
        <v>1891</v>
      </c>
      <c r="B126" s="2" t="s">
        <v>178</v>
      </c>
      <c r="C126" s="2" t="s">
        <v>1892</v>
      </c>
      <c r="D126" s="2" t="s">
        <v>1893</v>
      </c>
      <c r="E126" s="2" t="s">
        <v>1894</v>
      </c>
      <c r="F126" s="2" t="s">
        <v>1571</v>
      </c>
      <c r="G126" s="2" t="s">
        <v>1895</v>
      </c>
      <c r="H126" s="2" t="s">
        <v>1896</v>
      </c>
      <c r="I126" s="2" t="s">
        <v>1897</v>
      </c>
      <c r="J126" s="2" t="s">
        <v>1898</v>
      </c>
      <c r="K126" s="2" t="s">
        <v>1899</v>
      </c>
      <c r="L126" s="2" t="s">
        <v>22</v>
      </c>
      <c r="M126" s="2" t="s">
        <v>1191</v>
      </c>
      <c r="N126" s="2" t="s">
        <v>13</v>
      </c>
      <c r="O126" s="2" t="s">
        <v>833</v>
      </c>
    </row>
    <row r="127" ht="43.2" spans="1:15">
      <c r="A127" s="2" t="s">
        <v>1900</v>
      </c>
      <c r="B127" s="2" t="s">
        <v>178</v>
      </c>
      <c r="C127" s="2" t="s">
        <v>1901</v>
      </c>
      <c r="D127" s="2" t="s">
        <v>1902</v>
      </c>
      <c r="E127" s="2" t="s">
        <v>1903</v>
      </c>
      <c r="F127" s="2" t="s">
        <v>1904</v>
      </c>
      <c r="G127" s="2" t="s">
        <v>1905</v>
      </c>
      <c r="H127" s="2" t="s">
        <v>1863</v>
      </c>
      <c r="I127" s="2" t="s">
        <v>1906</v>
      </c>
      <c r="J127" s="2" t="s">
        <v>1907</v>
      </c>
      <c r="K127" s="2" t="s">
        <v>1908</v>
      </c>
      <c r="L127" s="2" t="s">
        <v>22</v>
      </c>
      <c r="M127" s="2" t="s">
        <v>1191</v>
      </c>
      <c r="N127" s="2" t="s">
        <v>13</v>
      </c>
      <c r="O127" s="2" t="s">
        <v>1212</v>
      </c>
    </row>
    <row r="128" ht="43.2" spans="1:15">
      <c r="A128" s="2" t="s">
        <v>1909</v>
      </c>
      <c r="B128" s="2" t="s">
        <v>178</v>
      </c>
      <c r="C128" s="2" t="s">
        <v>1910</v>
      </c>
      <c r="D128" s="2" t="s">
        <v>1911</v>
      </c>
      <c r="E128" s="2" t="s">
        <v>1912</v>
      </c>
      <c r="F128" s="2" t="s">
        <v>1571</v>
      </c>
      <c r="G128" s="2" t="s">
        <v>1913</v>
      </c>
      <c r="H128" s="2" t="s">
        <v>1880</v>
      </c>
      <c r="I128" s="2" t="s">
        <v>1914</v>
      </c>
      <c r="J128" s="2" t="s">
        <v>1915</v>
      </c>
      <c r="K128" s="2" t="s">
        <v>1916</v>
      </c>
      <c r="L128" s="2" t="s">
        <v>22</v>
      </c>
      <c r="M128" s="2" t="s">
        <v>1191</v>
      </c>
      <c r="N128" s="2" t="s">
        <v>13</v>
      </c>
      <c r="O128" s="2" t="s">
        <v>1212</v>
      </c>
    </row>
    <row r="129" ht="43.2" spans="1:15">
      <c r="A129" s="2" t="s">
        <v>1917</v>
      </c>
      <c r="B129" s="2" t="s">
        <v>178</v>
      </c>
      <c r="C129" s="2" t="s">
        <v>1918</v>
      </c>
      <c r="D129" s="2" t="s">
        <v>1919</v>
      </c>
      <c r="E129" s="2" t="s">
        <v>1920</v>
      </c>
      <c r="F129" s="2" t="s">
        <v>1921</v>
      </c>
      <c r="G129" s="2" t="s">
        <v>1922</v>
      </c>
      <c r="H129" s="2" t="s">
        <v>1923</v>
      </c>
      <c r="I129" s="2" t="s">
        <v>1924</v>
      </c>
      <c r="J129" s="2" t="s">
        <v>1592</v>
      </c>
      <c r="K129" s="2" t="s">
        <v>1925</v>
      </c>
      <c r="L129" s="2" t="s">
        <v>22</v>
      </c>
      <c r="M129" s="2" t="s">
        <v>1191</v>
      </c>
      <c r="N129" s="2" t="s">
        <v>13</v>
      </c>
      <c r="O129" s="2" t="s">
        <v>833</v>
      </c>
    </row>
    <row r="130" ht="57.6" spans="1:15">
      <c r="A130" s="2" t="s">
        <v>1926</v>
      </c>
      <c r="B130" s="2" t="s">
        <v>178</v>
      </c>
      <c r="C130" s="2" t="s">
        <v>1927</v>
      </c>
      <c r="D130" s="2" t="s">
        <v>1928</v>
      </c>
      <c r="E130" s="2" t="s">
        <v>1929</v>
      </c>
      <c r="F130" s="2" t="s">
        <v>1571</v>
      </c>
      <c r="G130" s="2" t="s">
        <v>1930</v>
      </c>
      <c r="H130" s="2" t="s">
        <v>1931</v>
      </c>
      <c r="I130" s="2" t="s">
        <v>1932</v>
      </c>
      <c r="J130" s="2" t="s">
        <v>1933</v>
      </c>
      <c r="K130" s="2" t="s">
        <v>1934</v>
      </c>
      <c r="L130" s="2" t="s">
        <v>22</v>
      </c>
      <c r="M130" s="2" t="s">
        <v>1191</v>
      </c>
      <c r="N130" s="2" t="s">
        <v>13</v>
      </c>
      <c r="O130" s="2" t="s">
        <v>833</v>
      </c>
    </row>
    <row r="131" ht="57.6" spans="1:15">
      <c r="A131" s="2" t="s">
        <v>1935</v>
      </c>
      <c r="B131" s="2" t="s">
        <v>178</v>
      </c>
      <c r="C131" s="2" t="s">
        <v>1936</v>
      </c>
      <c r="D131" s="2" t="s">
        <v>1937</v>
      </c>
      <c r="E131" s="2" t="s">
        <v>1938</v>
      </c>
      <c r="F131" s="2" t="s">
        <v>1571</v>
      </c>
      <c r="G131" s="2" t="s">
        <v>1939</v>
      </c>
      <c r="H131" s="2" t="s">
        <v>1940</v>
      </c>
      <c r="I131" s="2" t="s">
        <v>1941</v>
      </c>
      <c r="J131" s="2" t="s">
        <v>1942</v>
      </c>
      <c r="K131" s="2" t="s">
        <v>1943</v>
      </c>
      <c r="L131" s="2" t="s">
        <v>22</v>
      </c>
      <c r="M131" s="2" t="s">
        <v>1191</v>
      </c>
      <c r="N131" s="2" t="s">
        <v>13</v>
      </c>
      <c r="O131" s="2" t="s">
        <v>1212</v>
      </c>
    </row>
    <row r="132" ht="57.6" spans="1:15">
      <c r="A132" s="2" t="s">
        <v>1944</v>
      </c>
      <c r="B132" s="2" t="s">
        <v>178</v>
      </c>
      <c r="C132" s="2" t="s">
        <v>1945</v>
      </c>
      <c r="D132" s="2" t="s">
        <v>1946</v>
      </c>
      <c r="E132" s="2" t="s">
        <v>1947</v>
      </c>
      <c r="F132" s="2" t="s">
        <v>1948</v>
      </c>
      <c r="G132" s="2" t="s">
        <v>1949</v>
      </c>
      <c r="H132" s="2" t="s">
        <v>1950</v>
      </c>
      <c r="I132" s="2" t="s">
        <v>1951</v>
      </c>
      <c r="J132" s="2" t="s">
        <v>1952</v>
      </c>
      <c r="K132" s="2" t="s">
        <v>1953</v>
      </c>
      <c r="L132" s="2" t="s">
        <v>22</v>
      </c>
      <c r="M132" s="2" t="s">
        <v>1191</v>
      </c>
      <c r="N132" s="2" t="s">
        <v>13</v>
      </c>
      <c r="O132" s="2" t="s">
        <v>833</v>
      </c>
    </row>
    <row r="133" ht="43.2" spans="1:15">
      <c r="A133" s="2" t="s">
        <v>1954</v>
      </c>
      <c r="B133" s="2" t="s">
        <v>178</v>
      </c>
      <c r="C133" s="2" t="s">
        <v>1955</v>
      </c>
      <c r="D133" s="2" t="s">
        <v>1956</v>
      </c>
      <c r="E133" s="2" t="s">
        <v>1957</v>
      </c>
      <c r="F133" s="2" t="s">
        <v>1958</v>
      </c>
      <c r="G133" s="2" t="s">
        <v>1959</v>
      </c>
      <c r="H133" s="2" t="s">
        <v>1960</v>
      </c>
      <c r="I133" s="2" t="s">
        <v>1961</v>
      </c>
      <c r="J133" s="2" t="s">
        <v>1962</v>
      </c>
      <c r="K133" s="2" t="s">
        <v>1963</v>
      </c>
      <c r="L133" s="2" t="s">
        <v>22</v>
      </c>
      <c r="M133" s="2" t="s">
        <v>1191</v>
      </c>
      <c r="N133" s="2" t="s">
        <v>13</v>
      </c>
      <c r="O133" s="2" t="s">
        <v>833</v>
      </c>
    </row>
    <row r="134" ht="43.2" spans="1:15">
      <c r="A134" s="2" t="s">
        <v>1964</v>
      </c>
      <c r="B134" s="2" t="s">
        <v>178</v>
      </c>
      <c r="C134" s="2" t="s">
        <v>1965</v>
      </c>
      <c r="D134" s="2" t="s">
        <v>1966</v>
      </c>
      <c r="E134" s="2" t="s">
        <v>1967</v>
      </c>
      <c r="F134" s="2" t="s">
        <v>1968</v>
      </c>
      <c r="G134" s="2" t="s">
        <v>1969</v>
      </c>
      <c r="H134" s="2" t="s">
        <v>1970</v>
      </c>
      <c r="I134" s="2" t="s">
        <v>1971</v>
      </c>
      <c r="J134" s="2" t="s">
        <v>1972</v>
      </c>
      <c r="K134" s="2" t="s">
        <v>1973</v>
      </c>
      <c r="L134" s="2" t="s">
        <v>22</v>
      </c>
      <c r="M134" s="2" t="s">
        <v>1191</v>
      </c>
      <c r="N134" s="2" t="s">
        <v>13</v>
      </c>
      <c r="O134" s="2" t="s">
        <v>833</v>
      </c>
    </row>
    <row r="135" ht="43.2" spans="1:15">
      <c r="A135" s="2" t="s">
        <v>1974</v>
      </c>
      <c r="B135" s="2" t="s">
        <v>178</v>
      </c>
      <c r="C135" s="2" t="s">
        <v>1975</v>
      </c>
      <c r="D135" s="2" t="s">
        <v>1976</v>
      </c>
      <c r="E135" s="2" t="s">
        <v>1977</v>
      </c>
      <c r="F135" s="2" t="s">
        <v>1978</v>
      </c>
      <c r="G135" s="2" t="s">
        <v>1979</v>
      </c>
      <c r="H135" s="2" t="s">
        <v>1980</v>
      </c>
      <c r="I135" s="2" t="s">
        <v>1981</v>
      </c>
      <c r="J135" s="2" t="s">
        <v>1982</v>
      </c>
      <c r="K135" s="2" t="s">
        <v>1983</v>
      </c>
      <c r="L135" s="2" t="s">
        <v>22</v>
      </c>
      <c r="M135" s="2" t="s">
        <v>1191</v>
      </c>
      <c r="N135" s="2" t="s">
        <v>13</v>
      </c>
      <c r="O135" s="2" t="s">
        <v>1212</v>
      </c>
    </row>
    <row r="136" ht="43.2" spans="1:15">
      <c r="A136" s="2" t="s">
        <v>1984</v>
      </c>
      <c r="B136" s="2" t="s">
        <v>178</v>
      </c>
      <c r="C136" s="2" t="s">
        <v>1985</v>
      </c>
      <c r="D136" s="2" t="s">
        <v>1986</v>
      </c>
      <c r="E136" s="2" t="s">
        <v>1987</v>
      </c>
      <c r="F136" s="2" t="s">
        <v>1988</v>
      </c>
      <c r="G136" s="2" t="s">
        <v>1989</v>
      </c>
      <c r="H136" s="2" t="s">
        <v>1990</v>
      </c>
      <c r="I136" s="2" t="s">
        <v>1991</v>
      </c>
      <c r="J136" s="2" t="s">
        <v>1992</v>
      </c>
      <c r="K136" s="2" t="s">
        <v>1993</v>
      </c>
      <c r="L136" s="2" t="s">
        <v>22</v>
      </c>
      <c r="M136" s="2" t="s">
        <v>1191</v>
      </c>
      <c r="N136" s="2" t="s">
        <v>13</v>
      </c>
      <c r="O136" s="2" t="s">
        <v>1212</v>
      </c>
    </row>
    <row r="137" ht="43.2" spans="1:15">
      <c r="A137" s="2" t="s">
        <v>1994</v>
      </c>
      <c r="B137" s="2" t="s">
        <v>178</v>
      </c>
      <c r="C137" s="2" t="s">
        <v>1995</v>
      </c>
      <c r="D137" s="2" t="s">
        <v>1996</v>
      </c>
      <c r="E137" s="2" t="s">
        <v>1997</v>
      </c>
      <c r="F137" s="2" t="s">
        <v>1998</v>
      </c>
      <c r="G137" s="2" t="s">
        <v>1999</v>
      </c>
      <c r="H137" s="2" t="s">
        <v>2000</v>
      </c>
      <c r="I137" s="2" t="s">
        <v>2001</v>
      </c>
      <c r="J137" s="2" t="s">
        <v>2002</v>
      </c>
      <c r="K137" s="2" t="s">
        <v>2003</v>
      </c>
      <c r="L137" s="2" t="s">
        <v>22</v>
      </c>
      <c r="M137" s="2" t="s">
        <v>1191</v>
      </c>
      <c r="N137" s="2" t="s">
        <v>13</v>
      </c>
      <c r="O137" s="2" t="s">
        <v>833</v>
      </c>
    </row>
    <row r="138" ht="43.2" spans="1:15">
      <c r="A138" s="2" t="s">
        <v>2004</v>
      </c>
      <c r="B138" s="2" t="s">
        <v>178</v>
      </c>
      <c r="C138" s="2" t="s">
        <v>2005</v>
      </c>
      <c r="D138" s="2" t="s">
        <v>2006</v>
      </c>
      <c r="E138" s="2" t="s">
        <v>2007</v>
      </c>
      <c r="F138" s="2" t="s">
        <v>2008</v>
      </c>
      <c r="G138" s="2" t="s">
        <v>2009</v>
      </c>
      <c r="H138" s="2" t="s">
        <v>2010</v>
      </c>
      <c r="I138" s="2" t="s">
        <v>2011</v>
      </c>
      <c r="J138" s="2" t="s">
        <v>2012</v>
      </c>
      <c r="K138" s="2" t="s">
        <v>2013</v>
      </c>
      <c r="L138" s="2" t="s">
        <v>22</v>
      </c>
      <c r="M138" s="2" t="s">
        <v>1191</v>
      </c>
      <c r="N138" s="2" t="s">
        <v>13</v>
      </c>
      <c r="O138" s="2" t="s">
        <v>833</v>
      </c>
    </row>
    <row r="139" ht="43.2" spans="1:15">
      <c r="A139" s="2" t="s">
        <v>2014</v>
      </c>
      <c r="B139" s="2" t="s">
        <v>178</v>
      </c>
      <c r="C139" s="2" t="s">
        <v>2015</v>
      </c>
      <c r="D139" s="2" t="s">
        <v>2016</v>
      </c>
      <c r="E139" s="2" t="s">
        <v>2017</v>
      </c>
      <c r="F139" s="2" t="s">
        <v>2018</v>
      </c>
      <c r="G139" s="2" t="s">
        <v>2019</v>
      </c>
      <c r="H139" s="2" t="s">
        <v>2020</v>
      </c>
      <c r="I139" s="2" t="s">
        <v>2021</v>
      </c>
      <c r="J139" s="2" t="s">
        <v>2022</v>
      </c>
      <c r="K139" s="2" t="s">
        <v>2023</v>
      </c>
      <c r="L139" s="2" t="s">
        <v>22</v>
      </c>
      <c r="M139" s="2" t="s">
        <v>1191</v>
      </c>
      <c r="N139" s="2" t="s">
        <v>13</v>
      </c>
      <c r="O139" s="2" t="s">
        <v>833</v>
      </c>
    </row>
    <row r="140" ht="43.2" spans="1:15">
      <c r="A140" s="2" t="s">
        <v>2024</v>
      </c>
      <c r="B140" s="2" t="s">
        <v>178</v>
      </c>
      <c r="C140" s="2" t="s">
        <v>2025</v>
      </c>
      <c r="D140" s="2" t="s">
        <v>2026</v>
      </c>
      <c r="E140" s="2" t="s">
        <v>2027</v>
      </c>
      <c r="F140" s="2" t="s">
        <v>2028</v>
      </c>
      <c r="G140" s="2" t="s">
        <v>2029</v>
      </c>
      <c r="H140" s="2" t="s">
        <v>2030</v>
      </c>
      <c r="I140" s="2" t="s">
        <v>2031</v>
      </c>
      <c r="J140" s="2" t="s">
        <v>2032</v>
      </c>
      <c r="K140" s="2" t="s">
        <v>2033</v>
      </c>
      <c r="L140" s="2" t="s">
        <v>22</v>
      </c>
      <c r="M140" s="2" t="s">
        <v>1191</v>
      </c>
      <c r="N140" s="2" t="s">
        <v>13</v>
      </c>
      <c r="O140" s="2" t="s">
        <v>833</v>
      </c>
    </row>
    <row r="141" ht="43.2" spans="1:15">
      <c r="A141" s="2" t="s">
        <v>2034</v>
      </c>
      <c r="B141" s="2" t="s">
        <v>178</v>
      </c>
      <c r="C141" s="2" t="s">
        <v>2035</v>
      </c>
      <c r="D141" s="2" t="s">
        <v>2036</v>
      </c>
      <c r="E141" s="2" t="s">
        <v>2037</v>
      </c>
      <c r="F141" s="2" t="s">
        <v>2038</v>
      </c>
      <c r="G141" s="2" t="s">
        <v>2039</v>
      </c>
      <c r="H141" s="2" t="s">
        <v>2040</v>
      </c>
      <c r="I141" s="2" t="s">
        <v>2041</v>
      </c>
      <c r="J141" s="2" t="s">
        <v>2042</v>
      </c>
      <c r="K141" s="2" t="s">
        <v>2043</v>
      </c>
      <c r="L141" s="2" t="s">
        <v>22</v>
      </c>
      <c r="M141" s="2" t="s">
        <v>1191</v>
      </c>
      <c r="N141" s="2" t="s">
        <v>13</v>
      </c>
      <c r="O141" s="2" t="s">
        <v>833</v>
      </c>
    </row>
    <row r="142" ht="43.2" spans="1:15">
      <c r="A142" s="2" t="s">
        <v>2044</v>
      </c>
      <c r="B142" s="2" t="s">
        <v>178</v>
      </c>
      <c r="C142" s="2" t="s">
        <v>2045</v>
      </c>
      <c r="D142" s="2" t="s">
        <v>2046</v>
      </c>
      <c r="E142" s="2" t="s">
        <v>2047</v>
      </c>
      <c r="F142" s="2" t="s">
        <v>2048</v>
      </c>
      <c r="G142" s="2" t="s">
        <v>2049</v>
      </c>
      <c r="H142" s="2" t="s">
        <v>2040</v>
      </c>
      <c r="I142" s="2" t="s">
        <v>2050</v>
      </c>
      <c r="J142" s="2" t="s">
        <v>2051</v>
      </c>
      <c r="K142" s="2" t="s">
        <v>2052</v>
      </c>
      <c r="L142" s="2" t="s">
        <v>22</v>
      </c>
      <c r="M142" s="2" t="s">
        <v>1191</v>
      </c>
      <c r="N142" s="2" t="s">
        <v>13</v>
      </c>
      <c r="O142" s="2" t="s">
        <v>833</v>
      </c>
    </row>
    <row r="143" ht="57.6" spans="1:15">
      <c r="A143" s="2" t="s">
        <v>2053</v>
      </c>
      <c r="B143" s="2" t="s">
        <v>178</v>
      </c>
      <c r="C143" s="2" t="s">
        <v>2054</v>
      </c>
      <c r="D143" s="2" t="s">
        <v>2055</v>
      </c>
      <c r="E143" s="2" t="s">
        <v>2056</v>
      </c>
      <c r="F143" s="2" t="s">
        <v>2048</v>
      </c>
      <c r="G143" s="2" t="s">
        <v>2057</v>
      </c>
      <c r="H143" s="2" t="s">
        <v>2058</v>
      </c>
      <c r="I143" s="2" t="s">
        <v>2059</v>
      </c>
      <c r="J143" s="2" t="s">
        <v>2060</v>
      </c>
      <c r="K143" s="2" t="s">
        <v>2061</v>
      </c>
      <c r="L143" s="2" t="s">
        <v>23</v>
      </c>
      <c r="M143" s="2" t="s">
        <v>1191</v>
      </c>
      <c r="N143" s="2" t="s">
        <v>13</v>
      </c>
      <c r="O143" s="2" t="s">
        <v>833</v>
      </c>
    </row>
    <row r="144" ht="43.2" spans="1:15">
      <c r="A144" s="2" t="s">
        <v>2062</v>
      </c>
      <c r="B144" s="2" t="s">
        <v>178</v>
      </c>
      <c r="C144" s="2" t="s">
        <v>2063</v>
      </c>
      <c r="D144" s="2" t="s">
        <v>2064</v>
      </c>
      <c r="E144" s="2" t="s">
        <v>2065</v>
      </c>
      <c r="F144" s="2" t="s">
        <v>2066</v>
      </c>
      <c r="G144" s="2" t="s">
        <v>2067</v>
      </c>
      <c r="H144" s="2" t="s">
        <v>2068</v>
      </c>
      <c r="I144" s="2" t="s">
        <v>2069</v>
      </c>
      <c r="J144" s="2" t="s">
        <v>2070</v>
      </c>
      <c r="K144" s="2" t="s">
        <v>2071</v>
      </c>
      <c r="L144" s="2" t="s">
        <v>22</v>
      </c>
      <c r="M144" s="2" t="s">
        <v>1191</v>
      </c>
      <c r="N144" s="2" t="s">
        <v>13</v>
      </c>
      <c r="O144" s="2" t="s">
        <v>833</v>
      </c>
    </row>
    <row r="145" ht="43.2" spans="1:15">
      <c r="A145" s="2" t="s">
        <v>2072</v>
      </c>
      <c r="B145" s="2" t="s">
        <v>178</v>
      </c>
      <c r="C145" s="2" t="s">
        <v>2073</v>
      </c>
      <c r="D145" s="2" t="s">
        <v>2074</v>
      </c>
      <c r="E145" s="2" t="s">
        <v>2075</v>
      </c>
      <c r="F145" s="2" t="s">
        <v>2076</v>
      </c>
      <c r="G145" s="2" t="s">
        <v>2077</v>
      </c>
      <c r="H145" s="2" t="s">
        <v>2078</v>
      </c>
      <c r="I145" s="2" t="s">
        <v>2079</v>
      </c>
      <c r="J145" s="2" t="s">
        <v>2080</v>
      </c>
      <c r="K145" s="2" t="s">
        <v>2081</v>
      </c>
      <c r="L145" s="2" t="s">
        <v>22</v>
      </c>
      <c r="M145" s="2" t="s">
        <v>1191</v>
      </c>
      <c r="N145" s="2" t="s">
        <v>13</v>
      </c>
      <c r="O145" s="2" t="s">
        <v>833</v>
      </c>
    </row>
    <row r="146" ht="43.2" spans="1:15">
      <c r="A146" s="2" t="s">
        <v>2082</v>
      </c>
      <c r="B146" s="2" t="s">
        <v>178</v>
      </c>
      <c r="C146" s="2" t="s">
        <v>2083</v>
      </c>
      <c r="D146" s="2" t="s">
        <v>2084</v>
      </c>
      <c r="E146" s="2" t="s">
        <v>2085</v>
      </c>
      <c r="F146" s="2" t="s">
        <v>2086</v>
      </c>
      <c r="G146" s="2" t="s">
        <v>2087</v>
      </c>
      <c r="H146" s="2" t="s">
        <v>2040</v>
      </c>
      <c r="I146" s="2" t="s">
        <v>2088</v>
      </c>
      <c r="J146" s="2" t="s">
        <v>2089</v>
      </c>
      <c r="K146" s="2" t="s">
        <v>2090</v>
      </c>
      <c r="L146" s="2" t="s">
        <v>22</v>
      </c>
      <c r="M146" s="2" t="s">
        <v>1191</v>
      </c>
      <c r="N146" s="2" t="s">
        <v>13</v>
      </c>
      <c r="O146" s="2" t="s">
        <v>833</v>
      </c>
    </row>
    <row r="147" ht="57.6" spans="1:15">
      <c r="A147" s="2" t="s">
        <v>2091</v>
      </c>
      <c r="B147" s="2" t="s">
        <v>178</v>
      </c>
      <c r="C147" s="2" t="s">
        <v>2092</v>
      </c>
      <c r="D147" s="2" t="s">
        <v>2093</v>
      </c>
      <c r="E147" s="2" t="s">
        <v>2094</v>
      </c>
      <c r="F147" s="2" t="s">
        <v>2095</v>
      </c>
      <c r="G147" s="2" t="s">
        <v>2096</v>
      </c>
      <c r="H147" s="2" t="s">
        <v>2097</v>
      </c>
      <c r="I147" s="2" t="s">
        <v>2098</v>
      </c>
      <c r="J147" s="2" t="s">
        <v>2099</v>
      </c>
      <c r="K147" s="2" t="s">
        <v>2100</v>
      </c>
      <c r="L147" s="2" t="s">
        <v>22</v>
      </c>
      <c r="M147" s="2" t="s">
        <v>1191</v>
      </c>
      <c r="N147" s="2" t="s">
        <v>13</v>
      </c>
      <c r="O147" s="2" t="s">
        <v>1212</v>
      </c>
    </row>
    <row r="148" ht="43.2" spans="1:15">
      <c r="A148" s="2" t="s">
        <v>2101</v>
      </c>
      <c r="B148" s="2" t="s">
        <v>178</v>
      </c>
      <c r="C148" s="2" t="s">
        <v>2102</v>
      </c>
      <c r="D148" s="2" t="s">
        <v>2103</v>
      </c>
      <c r="E148" s="2" t="s">
        <v>2104</v>
      </c>
      <c r="F148" s="2" t="s">
        <v>2105</v>
      </c>
      <c r="G148" s="2" t="s">
        <v>2106</v>
      </c>
      <c r="H148" s="2" t="s">
        <v>2107</v>
      </c>
      <c r="I148" s="2" t="s">
        <v>2108</v>
      </c>
      <c r="J148" s="2" t="s">
        <v>2109</v>
      </c>
      <c r="K148" s="2" t="s">
        <v>2110</v>
      </c>
      <c r="L148" s="2" t="s">
        <v>22</v>
      </c>
      <c r="M148" s="2" t="s">
        <v>1191</v>
      </c>
      <c r="N148" s="2" t="s">
        <v>13</v>
      </c>
      <c r="O148" s="2" t="s">
        <v>833</v>
      </c>
    </row>
    <row r="149" ht="43.2" spans="1:15">
      <c r="A149" s="2" t="s">
        <v>2111</v>
      </c>
      <c r="B149" s="2" t="s">
        <v>178</v>
      </c>
      <c r="C149" s="2" t="s">
        <v>2112</v>
      </c>
      <c r="D149" s="2" t="s">
        <v>2113</v>
      </c>
      <c r="E149" s="2" t="s">
        <v>2114</v>
      </c>
      <c r="F149" s="2" t="s">
        <v>2115</v>
      </c>
      <c r="G149" s="2" t="s">
        <v>2116</v>
      </c>
      <c r="H149" s="2" t="s">
        <v>2040</v>
      </c>
      <c r="I149" s="2" t="s">
        <v>2117</v>
      </c>
      <c r="J149" s="2" t="s">
        <v>2118</v>
      </c>
      <c r="K149" s="2" t="s">
        <v>2110</v>
      </c>
      <c r="L149" s="2" t="s">
        <v>22</v>
      </c>
      <c r="M149" s="2" t="s">
        <v>1191</v>
      </c>
      <c r="N149" s="2" t="s">
        <v>13</v>
      </c>
      <c r="O149" s="2" t="s">
        <v>833</v>
      </c>
    </row>
    <row r="150" ht="43.2" spans="1:15">
      <c r="A150" s="2" t="s">
        <v>2119</v>
      </c>
      <c r="B150" s="2" t="s">
        <v>178</v>
      </c>
      <c r="C150" s="2" t="s">
        <v>2120</v>
      </c>
      <c r="D150" s="2" t="s">
        <v>2121</v>
      </c>
      <c r="E150" s="2" t="s">
        <v>2122</v>
      </c>
      <c r="F150" s="2" t="s">
        <v>2123</v>
      </c>
      <c r="G150" s="2" t="s">
        <v>2124</v>
      </c>
      <c r="H150" s="2" t="s">
        <v>2125</v>
      </c>
      <c r="I150" s="2" t="s">
        <v>2126</v>
      </c>
      <c r="J150" s="2" t="s">
        <v>2127</v>
      </c>
      <c r="K150" s="2" t="s">
        <v>2110</v>
      </c>
      <c r="L150" s="2" t="s">
        <v>22</v>
      </c>
      <c r="M150" s="2" t="s">
        <v>1191</v>
      </c>
      <c r="N150" s="2" t="s">
        <v>13</v>
      </c>
      <c r="O150" s="2" t="s">
        <v>833</v>
      </c>
    </row>
    <row r="151" ht="43.2" spans="1:15">
      <c r="A151" s="2" t="s">
        <v>2128</v>
      </c>
      <c r="B151" s="2" t="s">
        <v>178</v>
      </c>
      <c r="C151" s="2" t="s">
        <v>2129</v>
      </c>
      <c r="D151" s="2" t="s">
        <v>2130</v>
      </c>
      <c r="E151" s="2" t="s">
        <v>2131</v>
      </c>
      <c r="F151" s="2" t="s">
        <v>2066</v>
      </c>
      <c r="G151" s="2" t="s">
        <v>2132</v>
      </c>
      <c r="H151" s="2" t="s">
        <v>2068</v>
      </c>
      <c r="I151" s="2" t="s">
        <v>2133</v>
      </c>
      <c r="J151" s="2" t="s">
        <v>2134</v>
      </c>
      <c r="K151" s="2" t="s">
        <v>2110</v>
      </c>
      <c r="L151" s="2" t="s">
        <v>22</v>
      </c>
      <c r="M151" s="2" t="s">
        <v>1191</v>
      </c>
      <c r="N151" s="2" t="s">
        <v>13</v>
      </c>
      <c r="O151" s="2" t="s">
        <v>833</v>
      </c>
    </row>
    <row r="152" ht="43.2" spans="1:15">
      <c r="A152" s="2" t="s">
        <v>2135</v>
      </c>
      <c r="B152" s="2" t="s">
        <v>178</v>
      </c>
      <c r="C152" s="2" t="s">
        <v>2136</v>
      </c>
      <c r="D152" s="2" t="s">
        <v>2137</v>
      </c>
      <c r="E152" s="2" t="s">
        <v>2138</v>
      </c>
      <c r="F152" s="2" t="s">
        <v>2076</v>
      </c>
      <c r="G152" s="2" t="s">
        <v>2139</v>
      </c>
      <c r="H152" s="2" t="s">
        <v>2078</v>
      </c>
      <c r="I152" s="2" t="s">
        <v>2140</v>
      </c>
      <c r="J152" s="2" t="s">
        <v>2141</v>
      </c>
      <c r="K152" s="2" t="s">
        <v>2110</v>
      </c>
      <c r="L152" s="2" t="s">
        <v>22</v>
      </c>
      <c r="M152" s="2" t="s">
        <v>1191</v>
      </c>
      <c r="N152" s="2" t="s">
        <v>13</v>
      </c>
      <c r="O152" s="2" t="s">
        <v>833</v>
      </c>
    </row>
    <row r="153" ht="57.6" spans="1:15">
      <c r="A153" s="2" t="s">
        <v>2142</v>
      </c>
      <c r="B153" s="2" t="s">
        <v>178</v>
      </c>
      <c r="C153" s="2" t="s">
        <v>2143</v>
      </c>
      <c r="D153" s="2" t="s">
        <v>2144</v>
      </c>
      <c r="E153" s="2" t="s">
        <v>2145</v>
      </c>
      <c r="F153" s="2" t="s">
        <v>2146</v>
      </c>
      <c r="G153" s="2" t="s">
        <v>2147</v>
      </c>
      <c r="H153" s="2" t="s">
        <v>2148</v>
      </c>
      <c r="I153" s="2" t="s">
        <v>2149</v>
      </c>
      <c r="J153" s="2" t="s">
        <v>2150</v>
      </c>
      <c r="K153" s="2" t="s">
        <v>2151</v>
      </c>
      <c r="L153" s="2" t="s">
        <v>23</v>
      </c>
      <c r="M153" s="2" t="s">
        <v>1191</v>
      </c>
      <c r="N153" s="2" t="s">
        <v>13</v>
      </c>
      <c r="O153" s="2" t="s">
        <v>1212</v>
      </c>
    </row>
    <row r="154" ht="43.2" spans="1:15">
      <c r="A154" s="2" t="s">
        <v>2152</v>
      </c>
      <c r="B154" s="2" t="s">
        <v>178</v>
      </c>
      <c r="C154" s="2" t="s">
        <v>2153</v>
      </c>
      <c r="D154" s="2" t="s">
        <v>2154</v>
      </c>
      <c r="E154" s="2" t="s">
        <v>2155</v>
      </c>
      <c r="F154" s="2" t="s">
        <v>1968</v>
      </c>
      <c r="G154" s="2" t="s">
        <v>2156</v>
      </c>
      <c r="H154" s="2" t="s">
        <v>2040</v>
      </c>
      <c r="I154" s="2" t="s">
        <v>2157</v>
      </c>
      <c r="J154" s="2" t="s">
        <v>2158</v>
      </c>
      <c r="K154" s="2" t="s">
        <v>2110</v>
      </c>
      <c r="L154" s="2" t="s">
        <v>22</v>
      </c>
      <c r="M154" s="2" t="s">
        <v>1191</v>
      </c>
      <c r="N154" s="2" t="s">
        <v>13</v>
      </c>
      <c r="O154" s="2" t="s">
        <v>833</v>
      </c>
    </row>
    <row r="155" ht="43.2" spans="1:15">
      <c r="A155" s="2" t="s">
        <v>2159</v>
      </c>
      <c r="B155" s="2" t="s">
        <v>178</v>
      </c>
      <c r="C155" s="2" t="s">
        <v>2160</v>
      </c>
      <c r="D155" s="2" t="s">
        <v>2161</v>
      </c>
      <c r="E155" s="2" t="s">
        <v>2162</v>
      </c>
      <c r="F155" s="2" t="s">
        <v>2163</v>
      </c>
      <c r="G155" s="2" t="s">
        <v>2164</v>
      </c>
      <c r="H155" s="2" t="s">
        <v>2165</v>
      </c>
      <c r="I155" s="2" t="s">
        <v>2166</v>
      </c>
      <c r="J155" s="2" t="s">
        <v>2167</v>
      </c>
      <c r="K155" s="2" t="s">
        <v>2110</v>
      </c>
      <c r="L155" s="2" t="s">
        <v>23</v>
      </c>
      <c r="M155" s="2" t="s">
        <v>1191</v>
      </c>
      <c r="N155" s="2" t="s">
        <v>13</v>
      </c>
      <c r="O155" s="2" t="s">
        <v>833</v>
      </c>
    </row>
    <row r="156" ht="57.6" spans="1:15">
      <c r="A156" s="2" t="s">
        <v>2168</v>
      </c>
      <c r="B156" s="2" t="s">
        <v>178</v>
      </c>
      <c r="C156" s="2" t="s">
        <v>2169</v>
      </c>
      <c r="D156" s="2" t="s">
        <v>2170</v>
      </c>
      <c r="E156" s="2" t="s">
        <v>2171</v>
      </c>
      <c r="F156" s="2" t="s">
        <v>2172</v>
      </c>
      <c r="G156" s="2" t="s">
        <v>2173</v>
      </c>
      <c r="H156" s="2" t="s">
        <v>2040</v>
      </c>
      <c r="I156" s="2" t="s">
        <v>2174</v>
      </c>
      <c r="J156" s="2" t="s">
        <v>2175</v>
      </c>
      <c r="K156" s="2" t="s">
        <v>2176</v>
      </c>
      <c r="L156" s="2" t="s">
        <v>22</v>
      </c>
      <c r="M156" s="2" t="s">
        <v>1191</v>
      </c>
      <c r="N156" s="2" t="s">
        <v>13</v>
      </c>
      <c r="O156" s="2" t="s">
        <v>833</v>
      </c>
    </row>
    <row r="157" ht="43.2" spans="1:15">
      <c r="A157" s="2" t="s">
        <v>2177</v>
      </c>
      <c r="B157" s="2" t="s">
        <v>178</v>
      </c>
      <c r="C157" s="2" t="s">
        <v>2178</v>
      </c>
      <c r="D157" s="2" t="s">
        <v>2179</v>
      </c>
      <c r="E157" s="2" t="s">
        <v>2180</v>
      </c>
      <c r="F157" s="2" t="s">
        <v>2181</v>
      </c>
      <c r="G157" s="2" t="s">
        <v>2182</v>
      </c>
      <c r="H157" s="2" t="s">
        <v>1923</v>
      </c>
      <c r="I157" s="2" t="s">
        <v>2183</v>
      </c>
      <c r="J157" s="2" t="s">
        <v>2184</v>
      </c>
      <c r="K157" s="2" t="s">
        <v>2176</v>
      </c>
      <c r="L157" s="2" t="s">
        <v>22</v>
      </c>
      <c r="M157" s="2" t="s">
        <v>1191</v>
      </c>
      <c r="N157" s="2" t="s">
        <v>13</v>
      </c>
      <c r="O157" s="2" t="s">
        <v>833</v>
      </c>
    </row>
    <row r="158" ht="57.6" spans="1:15">
      <c r="A158" s="2" t="s">
        <v>2185</v>
      </c>
      <c r="B158" s="2" t="s">
        <v>178</v>
      </c>
      <c r="C158" s="2" t="s">
        <v>2186</v>
      </c>
      <c r="D158" s="2" t="s">
        <v>2187</v>
      </c>
      <c r="E158" s="2" t="s">
        <v>2188</v>
      </c>
      <c r="F158" s="2" t="s">
        <v>2189</v>
      </c>
      <c r="G158" s="2" t="s">
        <v>2190</v>
      </c>
      <c r="H158" s="2" t="s">
        <v>2191</v>
      </c>
      <c r="I158" s="2" t="s">
        <v>2192</v>
      </c>
      <c r="J158" s="2" t="s">
        <v>2193</v>
      </c>
      <c r="K158" s="2" t="s">
        <v>2176</v>
      </c>
      <c r="L158" s="2" t="s">
        <v>22</v>
      </c>
      <c r="M158" s="2" t="s">
        <v>1191</v>
      </c>
      <c r="N158" s="2" t="s">
        <v>13</v>
      </c>
      <c r="O158" s="2" t="s">
        <v>833</v>
      </c>
    </row>
    <row r="159" ht="100.8" spans="1:15">
      <c r="A159" s="2" t="s">
        <v>2194</v>
      </c>
      <c r="B159" s="2" t="s">
        <v>2195</v>
      </c>
      <c r="C159" s="2" t="s">
        <v>2196</v>
      </c>
      <c r="D159" s="2" t="s">
        <v>2197</v>
      </c>
      <c r="E159" s="2" t="s">
        <v>2198</v>
      </c>
      <c r="F159" s="2" t="s">
        <v>2199</v>
      </c>
      <c r="G159" s="2" t="s">
        <v>2200</v>
      </c>
      <c r="H159" s="2"/>
      <c r="I159" s="2" t="s">
        <v>2201</v>
      </c>
      <c r="J159" s="2"/>
      <c r="K159" s="2" t="s">
        <v>2201</v>
      </c>
      <c r="L159" s="2" t="s">
        <v>22</v>
      </c>
      <c r="M159" s="2" t="s">
        <v>2202</v>
      </c>
      <c r="N159" s="2" t="s">
        <v>13</v>
      </c>
      <c r="O159" s="2"/>
    </row>
    <row r="160" ht="86.4" spans="1:15">
      <c r="A160" s="2" t="s">
        <v>2203</v>
      </c>
      <c r="B160" s="2" t="s">
        <v>2195</v>
      </c>
      <c r="C160" s="2" t="s">
        <v>2196</v>
      </c>
      <c r="D160" s="2" t="s">
        <v>2204</v>
      </c>
      <c r="E160" s="2" t="s">
        <v>2205</v>
      </c>
      <c r="F160" s="2" t="s">
        <v>2206</v>
      </c>
      <c r="G160" s="2" t="s">
        <v>2207</v>
      </c>
      <c r="H160" s="2"/>
      <c r="I160" s="2" t="s">
        <v>2208</v>
      </c>
      <c r="J160" s="2"/>
      <c r="K160" s="2" t="s">
        <v>2208</v>
      </c>
      <c r="L160" s="2" t="s">
        <v>22</v>
      </c>
      <c r="M160" s="2" t="s">
        <v>2202</v>
      </c>
      <c r="N160" s="2" t="s">
        <v>13</v>
      </c>
      <c r="O160" s="2"/>
    </row>
    <row r="161" ht="100.8" spans="1:15">
      <c r="A161" s="2" t="s">
        <v>2209</v>
      </c>
      <c r="B161" s="2" t="s">
        <v>2195</v>
      </c>
      <c r="C161" s="2" t="s">
        <v>2196</v>
      </c>
      <c r="D161" s="2" t="s">
        <v>2210</v>
      </c>
      <c r="E161" s="2" t="s">
        <v>2211</v>
      </c>
      <c r="F161" s="2" t="s">
        <v>2212</v>
      </c>
      <c r="G161" s="2" t="s">
        <v>2213</v>
      </c>
      <c r="H161" s="2"/>
      <c r="I161" s="2" t="s">
        <v>2214</v>
      </c>
      <c r="J161" s="2"/>
      <c r="K161" s="2" t="s">
        <v>2214</v>
      </c>
      <c r="L161" s="2" t="s">
        <v>22</v>
      </c>
      <c r="M161" s="2" t="s">
        <v>2202</v>
      </c>
      <c r="N161" s="2" t="s">
        <v>13</v>
      </c>
      <c r="O161" s="2"/>
    </row>
    <row r="162" ht="57.6" spans="1:15">
      <c r="A162" s="2" t="s">
        <v>2215</v>
      </c>
      <c r="B162" s="2" t="s">
        <v>2195</v>
      </c>
      <c r="C162" s="2" t="s">
        <v>2196</v>
      </c>
      <c r="D162" s="2" t="s">
        <v>2216</v>
      </c>
      <c r="E162" s="2" t="s">
        <v>2217</v>
      </c>
      <c r="F162" s="2" t="s">
        <v>2218</v>
      </c>
      <c r="G162" s="2" t="s">
        <v>2219</v>
      </c>
      <c r="H162" s="2"/>
      <c r="I162" s="2" t="s">
        <v>2220</v>
      </c>
      <c r="J162" s="2"/>
      <c r="K162" s="2" t="s">
        <v>2220</v>
      </c>
      <c r="L162" s="2" t="s">
        <v>22</v>
      </c>
      <c r="M162" s="2" t="s">
        <v>2202</v>
      </c>
      <c r="N162" s="2" t="s">
        <v>13</v>
      </c>
      <c r="O162" s="2"/>
    </row>
    <row r="163" ht="43.2" spans="1:15">
      <c r="A163" s="2" t="s">
        <v>2221</v>
      </c>
      <c r="B163" s="2" t="s">
        <v>2195</v>
      </c>
      <c r="C163" s="2" t="s">
        <v>2196</v>
      </c>
      <c r="D163" s="2" t="s">
        <v>2222</v>
      </c>
      <c r="E163" s="2" t="s">
        <v>2223</v>
      </c>
      <c r="F163" s="2" t="s">
        <v>2224</v>
      </c>
      <c r="G163" s="2" t="s">
        <v>2219</v>
      </c>
      <c r="H163" s="2"/>
      <c r="I163" s="2" t="s">
        <v>2225</v>
      </c>
      <c r="J163" s="2"/>
      <c r="K163" s="2" t="s">
        <v>2226</v>
      </c>
      <c r="L163" s="2" t="s">
        <v>2227</v>
      </c>
      <c r="M163" s="2" t="s">
        <v>2202</v>
      </c>
      <c r="N163" s="2" t="s">
        <v>13</v>
      </c>
      <c r="O163" s="2"/>
    </row>
    <row r="164" ht="72" spans="1:15">
      <c r="A164" s="2" t="s">
        <v>2228</v>
      </c>
      <c r="B164" s="2" t="s">
        <v>2195</v>
      </c>
      <c r="C164" s="2" t="s">
        <v>2196</v>
      </c>
      <c r="D164" s="2" t="s">
        <v>2229</v>
      </c>
      <c r="E164" s="2" t="s">
        <v>2230</v>
      </c>
      <c r="F164" s="2" t="s">
        <v>2231</v>
      </c>
      <c r="G164" s="2" t="s">
        <v>2232</v>
      </c>
      <c r="H164" s="2"/>
      <c r="I164" s="2" t="s">
        <v>2233</v>
      </c>
      <c r="J164" s="2"/>
      <c r="K164" s="2" t="s">
        <v>2233</v>
      </c>
      <c r="L164" s="2" t="s">
        <v>22</v>
      </c>
      <c r="M164" s="2" t="s">
        <v>2202</v>
      </c>
      <c r="N164" s="2" t="s">
        <v>13</v>
      </c>
      <c r="O164" s="2"/>
    </row>
    <row r="165" ht="72" spans="1:15">
      <c r="A165" s="2" t="s">
        <v>2234</v>
      </c>
      <c r="B165" s="2" t="s">
        <v>2195</v>
      </c>
      <c r="C165" s="2" t="s">
        <v>2196</v>
      </c>
      <c r="D165" s="2" t="s">
        <v>2235</v>
      </c>
      <c r="E165" s="2" t="s">
        <v>2236</v>
      </c>
      <c r="F165" s="2" t="s">
        <v>2237</v>
      </c>
      <c r="G165" s="2" t="s">
        <v>2238</v>
      </c>
      <c r="H165" s="2"/>
      <c r="I165" s="2" t="s">
        <v>2239</v>
      </c>
      <c r="J165" s="2"/>
      <c r="K165" s="2" t="s">
        <v>2239</v>
      </c>
      <c r="L165" s="2" t="s">
        <v>22</v>
      </c>
      <c r="M165" s="2" t="s">
        <v>2202</v>
      </c>
      <c r="N165" s="2" t="s">
        <v>13</v>
      </c>
      <c r="O165" s="2"/>
    </row>
    <row r="166" ht="115.2" spans="1:15">
      <c r="A166" s="2" t="s">
        <v>2240</v>
      </c>
      <c r="B166" s="2" t="s">
        <v>2195</v>
      </c>
      <c r="C166" s="2" t="s">
        <v>2241</v>
      </c>
      <c r="D166" s="2" t="s">
        <v>2242</v>
      </c>
      <c r="E166" s="2" t="s">
        <v>2243</v>
      </c>
      <c r="F166" s="2" t="s">
        <v>2244</v>
      </c>
      <c r="G166" s="2" t="s">
        <v>2245</v>
      </c>
      <c r="H166" s="2"/>
      <c r="I166" s="2" t="s">
        <v>2246</v>
      </c>
      <c r="J166" s="2"/>
      <c r="K166" s="2" t="s">
        <v>2246</v>
      </c>
      <c r="L166" s="2" t="s">
        <v>22</v>
      </c>
      <c r="M166" s="2" t="s">
        <v>2202</v>
      </c>
      <c r="N166" s="2" t="s">
        <v>13</v>
      </c>
      <c r="O166" s="2"/>
    </row>
    <row r="167" ht="72" spans="1:15">
      <c r="A167" s="2" t="s">
        <v>2247</v>
      </c>
      <c r="B167" s="2" t="s">
        <v>2195</v>
      </c>
      <c r="C167" s="2" t="s">
        <v>2241</v>
      </c>
      <c r="D167" s="2" t="s">
        <v>2248</v>
      </c>
      <c r="E167" s="2" t="s">
        <v>2249</v>
      </c>
      <c r="F167" s="2" t="s">
        <v>2250</v>
      </c>
      <c r="G167" s="2" t="s">
        <v>2251</v>
      </c>
      <c r="H167" s="2"/>
      <c r="I167" s="2" t="s">
        <v>2252</v>
      </c>
      <c r="J167" s="2"/>
      <c r="K167" s="2" t="s">
        <v>2252</v>
      </c>
      <c r="L167" s="2" t="s">
        <v>22</v>
      </c>
      <c r="M167" s="2" t="s">
        <v>2202</v>
      </c>
      <c r="N167" s="2" t="s">
        <v>13</v>
      </c>
      <c r="O167" s="2"/>
    </row>
    <row r="168" ht="43.2" spans="1:15">
      <c r="A168" s="2" t="s">
        <v>2253</v>
      </c>
      <c r="B168" s="2" t="s">
        <v>2195</v>
      </c>
      <c r="C168" s="2" t="s">
        <v>2241</v>
      </c>
      <c r="D168" s="2" t="s">
        <v>2254</v>
      </c>
      <c r="E168" s="2" t="s">
        <v>2255</v>
      </c>
      <c r="F168" s="2" t="s">
        <v>2256</v>
      </c>
      <c r="G168" s="2" t="s">
        <v>2257</v>
      </c>
      <c r="H168" s="2"/>
      <c r="I168" s="2" t="s">
        <v>2258</v>
      </c>
      <c r="J168" s="2"/>
      <c r="K168" s="2" t="s">
        <v>2258</v>
      </c>
      <c r="L168" s="2" t="s">
        <v>22</v>
      </c>
      <c r="M168" s="2" t="s">
        <v>2202</v>
      </c>
      <c r="N168" s="2" t="s">
        <v>13</v>
      </c>
      <c r="O168" s="2"/>
    </row>
    <row r="169" ht="72" spans="1:15">
      <c r="A169" s="2" t="s">
        <v>2259</v>
      </c>
      <c r="B169" s="2" t="s">
        <v>2195</v>
      </c>
      <c r="C169" s="2" t="s">
        <v>2260</v>
      </c>
      <c r="D169" s="2" t="s">
        <v>2261</v>
      </c>
      <c r="E169" s="2" t="s">
        <v>2262</v>
      </c>
      <c r="F169" s="2" t="s">
        <v>2263</v>
      </c>
      <c r="G169" s="2" t="s">
        <v>2264</v>
      </c>
      <c r="H169" s="2"/>
      <c r="I169" s="2" t="s">
        <v>2265</v>
      </c>
      <c r="J169" s="2"/>
      <c r="K169" s="2" t="s">
        <v>2265</v>
      </c>
      <c r="L169" s="2" t="s">
        <v>22</v>
      </c>
      <c r="M169" s="2" t="s">
        <v>2202</v>
      </c>
      <c r="N169" s="2" t="s">
        <v>13</v>
      </c>
      <c r="O169" s="2"/>
    </row>
    <row r="170" ht="57.6" spans="1:15">
      <c r="A170" s="2" t="s">
        <v>2266</v>
      </c>
      <c r="B170" s="2" t="s">
        <v>2195</v>
      </c>
      <c r="C170" s="2" t="s">
        <v>2260</v>
      </c>
      <c r="D170" s="2" t="s">
        <v>2267</v>
      </c>
      <c r="E170" s="2" t="s">
        <v>2268</v>
      </c>
      <c r="F170" s="2" t="s">
        <v>2269</v>
      </c>
      <c r="G170" s="2" t="s">
        <v>2270</v>
      </c>
      <c r="H170" s="2"/>
      <c r="I170" s="2" t="s">
        <v>2271</v>
      </c>
      <c r="J170" s="2"/>
      <c r="K170" s="2" t="s">
        <v>2271</v>
      </c>
      <c r="L170" s="2" t="s">
        <v>22</v>
      </c>
      <c r="M170" s="2" t="s">
        <v>2202</v>
      </c>
      <c r="N170" s="2" t="s">
        <v>13</v>
      </c>
      <c r="O170" s="2"/>
    </row>
    <row r="171" ht="43.2" spans="1:15">
      <c r="A171" s="2" t="s">
        <v>2272</v>
      </c>
      <c r="B171" s="2" t="s">
        <v>2195</v>
      </c>
      <c r="C171" s="2" t="s">
        <v>2260</v>
      </c>
      <c r="D171" s="2" t="s">
        <v>2273</v>
      </c>
      <c r="E171" s="2" t="s">
        <v>2274</v>
      </c>
      <c r="F171" s="2" t="s">
        <v>2275</v>
      </c>
      <c r="G171" s="2" t="s">
        <v>2276</v>
      </c>
      <c r="H171" s="2"/>
      <c r="I171" s="2" t="s">
        <v>2277</v>
      </c>
      <c r="J171" s="2"/>
      <c r="K171" s="2" t="s">
        <v>2277</v>
      </c>
      <c r="L171" s="2" t="s">
        <v>22</v>
      </c>
      <c r="M171" s="2" t="s">
        <v>2202</v>
      </c>
      <c r="N171" s="2" t="s">
        <v>13</v>
      </c>
      <c r="O171" s="2"/>
    </row>
    <row r="172" ht="57.6" spans="1:15">
      <c r="A172" s="2" t="s">
        <v>2278</v>
      </c>
      <c r="B172" s="2" t="s">
        <v>2195</v>
      </c>
      <c r="C172" s="2" t="s">
        <v>2260</v>
      </c>
      <c r="D172" s="2" t="s">
        <v>2279</v>
      </c>
      <c r="E172" s="2" t="s">
        <v>2280</v>
      </c>
      <c r="F172" s="2" t="s">
        <v>2281</v>
      </c>
      <c r="G172" s="2" t="s">
        <v>2282</v>
      </c>
      <c r="H172" s="2"/>
      <c r="I172" s="2" t="s">
        <v>2283</v>
      </c>
      <c r="J172" s="2"/>
      <c r="K172" s="2" t="s">
        <v>2284</v>
      </c>
      <c r="L172" s="2" t="s">
        <v>23</v>
      </c>
      <c r="M172" s="2" t="s">
        <v>2202</v>
      </c>
      <c r="N172" s="2" t="s">
        <v>13</v>
      </c>
      <c r="O172" s="2"/>
    </row>
    <row r="173" ht="72" spans="1:15">
      <c r="A173" s="2" t="s">
        <v>2285</v>
      </c>
      <c r="B173" s="2" t="s">
        <v>2195</v>
      </c>
      <c r="C173" s="2" t="s">
        <v>2260</v>
      </c>
      <c r="D173" s="2" t="s">
        <v>2286</v>
      </c>
      <c r="E173" s="2" t="s">
        <v>2287</v>
      </c>
      <c r="F173" s="2" t="s">
        <v>2281</v>
      </c>
      <c r="G173" s="2" t="s">
        <v>2288</v>
      </c>
      <c r="H173" s="2"/>
      <c r="I173" s="2" t="s">
        <v>2271</v>
      </c>
      <c r="J173" s="2"/>
      <c r="K173" s="2" t="s">
        <v>2271</v>
      </c>
      <c r="L173" s="2" t="s">
        <v>22</v>
      </c>
      <c r="M173" s="2" t="s">
        <v>2202</v>
      </c>
      <c r="N173" s="2" t="s">
        <v>13</v>
      </c>
      <c r="O173" s="2"/>
    </row>
    <row r="174" ht="72" spans="1:15">
      <c r="A174" s="2" t="s">
        <v>2289</v>
      </c>
      <c r="B174" s="2" t="s">
        <v>2195</v>
      </c>
      <c r="C174" s="2" t="s">
        <v>2290</v>
      </c>
      <c r="D174" s="2" t="s">
        <v>2291</v>
      </c>
      <c r="E174" s="2" t="s">
        <v>2292</v>
      </c>
      <c r="F174" s="2" t="s">
        <v>2293</v>
      </c>
      <c r="G174" s="2" t="s">
        <v>2294</v>
      </c>
      <c r="H174" s="2"/>
      <c r="I174" s="2" t="s">
        <v>2295</v>
      </c>
      <c r="J174" s="2"/>
      <c r="K174" s="2" t="s">
        <v>2295</v>
      </c>
      <c r="L174" s="2" t="s">
        <v>22</v>
      </c>
      <c r="M174" s="2" t="s">
        <v>2202</v>
      </c>
      <c r="N174" s="2" t="s">
        <v>13</v>
      </c>
      <c r="O174" s="2"/>
    </row>
    <row r="175" ht="100.8" spans="1:15">
      <c r="A175" s="2" t="s">
        <v>2296</v>
      </c>
      <c r="B175" s="2" t="s">
        <v>2195</v>
      </c>
      <c r="C175" s="2" t="s">
        <v>2290</v>
      </c>
      <c r="D175" s="2" t="s">
        <v>2297</v>
      </c>
      <c r="E175" s="2" t="s">
        <v>2298</v>
      </c>
      <c r="F175" s="2" t="s">
        <v>2299</v>
      </c>
      <c r="G175" s="2" t="s">
        <v>2300</v>
      </c>
      <c r="H175" s="2"/>
      <c r="I175" s="2" t="s">
        <v>2301</v>
      </c>
      <c r="J175" s="2"/>
      <c r="K175" s="2" t="s">
        <v>2301</v>
      </c>
      <c r="L175" s="2" t="s">
        <v>22</v>
      </c>
      <c r="M175" s="2" t="s">
        <v>2202</v>
      </c>
      <c r="N175" s="2" t="s">
        <v>13</v>
      </c>
      <c r="O175" s="2"/>
    </row>
    <row r="176" ht="72" spans="1:15">
      <c r="A176" s="2" t="s">
        <v>2302</v>
      </c>
      <c r="B176" s="2" t="s">
        <v>2195</v>
      </c>
      <c r="C176" s="2" t="s">
        <v>2290</v>
      </c>
      <c r="D176" s="2" t="s">
        <v>2303</v>
      </c>
      <c r="E176" s="2" t="s">
        <v>2304</v>
      </c>
      <c r="F176" s="2" t="s">
        <v>2305</v>
      </c>
      <c r="G176" s="2" t="s">
        <v>2306</v>
      </c>
      <c r="H176" s="2"/>
      <c r="I176" s="2" t="s">
        <v>2307</v>
      </c>
      <c r="J176" s="2"/>
      <c r="K176" s="2" t="s">
        <v>2307</v>
      </c>
      <c r="L176" s="2" t="s">
        <v>22</v>
      </c>
      <c r="M176" s="2" t="s">
        <v>2202</v>
      </c>
      <c r="N176" s="2" t="s">
        <v>13</v>
      </c>
      <c r="O176" s="2"/>
    </row>
    <row r="177" ht="57.6" spans="1:15">
      <c r="A177" s="2" t="s">
        <v>2308</v>
      </c>
      <c r="B177" s="2" t="s">
        <v>2195</v>
      </c>
      <c r="C177" s="2" t="s">
        <v>2309</v>
      </c>
      <c r="D177" s="2" t="s">
        <v>2310</v>
      </c>
      <c r="E177" s="2" t="s">
        <v>2311</v>
      </c>
      <c r="F177" s="2" t="s">
        <v>2312</v>
      </c>
      <c r="G177" s="2" t="s">
        <v>2313</v>
      </c>
      <c r="H177" s="2"/>
      <c r="I177" s="2" t="s">
        <v>2314</v>
      </c>
      <c r="J177" s="2"/>
      <c r="K177" s="2" t="s">
        <v>2284</v>
      </c>
      <c r="L177" s="2" t="s">
        <v>23</v>
      </c>
      <c r="M177" s="2" t="s">
        <v>2202</v>
      </c>
      <c r="N177" s="2" t="s">
        <v>13</v>
      </c>
      <c r="O177" s="2"/>
    </row>
    <row r="178" ht="72" spans="1:15">
      <c r="A178" s="2" t="s">
        <v>2315</v>
      </c>
      <c r="B178" s="2" t="s">
        <v>2195</v>
      </c>
      <c r="C178" s="2" t="s">
        <v>2309</v>
      </c>
      <c r="D178" s="2" t="s">
        <v>2316</v>
      </c>
      <c r="E178" s="2" t="s">
        <v>2317</v>
      </c>
      <c r="F178" s="2" t="s">
        <v>2318</v>
      </c>
      <c r="G178" s="2" t="s">
        <v>2319</v>
      </c>
      <c r="H178" s="2"/>
      <c r="I178" s="2" t="s">
        <v>2320</v>
      </c>
      <c r="J178" s="2"/>
      <c r="K178" s="2" t="s">
        <v>2320</v>
      </c>
      <c r="L178" s="2" t="s">
        <v>22</v>
      </c>
      <c r="M178" s="2" t="s">
        <v>2202</v>
      </c>
      <c r="N178" s="2" t="s">
        <v>13</v>
      </c>
      <c r="O178" s="2"/>
    </row>
    <row r="179" ht="57.6" spans="1:15">
      <c r="A179" s="2" t="s">
        <v>2321</v>
      </c>
      <c r="B179" s="2" t="s">
        <v>2195</v>
      </c>
      <c r="C179" s="2" t="s">
        <v>2309</v>
      </c>
      <c r="D179" s="2" t="s">
        <v>2322</v>
      </c>
      <c r="E179" s="2" t="s">
        <v>2323</v>
      </c>
      <c r="F179" s="2" t="s">
        <v>2324</v>
      </c>
      <c r="G179" s="2" t="s">
        <v>2325</v>
      </c>
      <c r="H179" s="2"/>
      <c r="I179" s="2" t="s">
        <v>2326</v>
      </c>
      <c r="J179" s="2"/>
      <c r="K179" s="2" t="s">
        <v>2326</v>
      </c>
      <c r="L179" s="2" t="s">
        <v>22</v>
      </c>
      <c r="M179" s="2" t="s">
        <v>2202</v>
      </c>
      <c r="N179" s="2" t="s">
        <v>13</v>
      </c>
      <c r="O179" s="2"/>
    </row>
    <row r="180" ht="57.6" spans="1:15">
      <c r="A180" s="2" t="s">
        <v>2327</v>
      </c>
      <c r="B180" s="2" t="s">
        <v>2195</v>
      </c>
      <c r="C180" s="2" t="s">
        <v>2309</v>
      </c>
      <c r="D180" s="2" t="s">
        <v>2328</v>
      </c>
      <c r="E180" s="2" t="s">
        <v>2329</v>
      </c>
      <c r="F180" s="2" t="s">
        <v>2330</v>
      </c>
      <c r="G180" s="2" t="s">
        <v>2331</v>
      </c>
      <c r="H180" s="2"/>
      <c r="I180" s="2" t="s">
        <v>2332</v>
      </c>
      <c r="J180" s="2"/>
      <c r="K180" s="2" t="s">
        <v>2332</v>
      </c>
      <c r="L180" s="2" t="s">
        <v>22</v>
      </c>
      <c r="M180" s="2" t="s">
        <v>2202</v>
      </c>
      <c r="N180" s="2" t="s">
        <v>13</v>
      </c>
      <c r="O180" s="2"/>
    </row>
    <row r="181" ht="72" spans="1:15">
      <c r="A181" s="2" t="s">
        <v>2333</v>
      </c>
      <c r="B181" s="2" t="s">
        <v>2195</v>
      </c>
      <c r="C181" s="2" t="s">
        <v>2334</v>
      </c>
      <c r="D181" s="2" t="s">
        <v>2335</v>
      </c>
      <c r="E181" s="2" t="s">
        <v>2336</v>
      </c>
      <c r="F181" s="2" t="s">
        <v>2337</v>
      </c>
      <c r="G181" s="2" t="s">
        <v>2338</v>
      </c>
      <c r="H181" s="2"/>
      <c r="I181" s="2" t="s">
        <v>2339</v>
      </c>
      <c r="J181" s="2"/>
      <c r="K181" s="2" t="s">
        <v>2339</v>
      </c>
      <c r="L181" s="2" t="s">
        <v>22</v>
      </c>
      <c r="M181" s="2" t="s">
        <v>2202</v>
      </c>
      <c r="N181" s="2" t="s">
        <v>13</v>
      </c>
      <c r="O181" s="2"/>
    </row>
    <row r="182" ht="57.6" spans="1:15">
      <c r="A182" s="2" t="s">
        <v>2340</v>
      </c>
      <c r="B182" s="2" t="s">
        <v>2195</v>
      </c>
      <c r="C182" s="2" t="s">
        <v>2334</v>
      </c>
      <c r="D182" s="2" t="s">
        <v>2286</v>
      </c>
      <c r="E182" s="2" t="s">
        <v>2341</v>
      </c>
      <c r="F182" s="2" t="s">
        <v>2342</v>
      </c>
      <c r="G182" s="2" t="s">
        <v>2343</v>
      </c>
      <c r="H182" s="2"/>
      <c r="I182" s="2" t="s">
        <v>2344</v>
      </c>
      <c r="J182" s="2"/>
      <c r="K182" s="2" t="s">
        <v>2284</v>
      </c>
      <c r="L182" s="2" t="s">
        <v>23</v>
      </c>
      <c r="M182" s="2" t="s">
        <v>2202</v>
      </c>
      <c r="N182" s="2" t="s">
        <v>13</v>
      </c>
      <c r="O182" s="2"/>
    </row>
    <row r="183" ht="72" spans="1:15">
      <c r="A183" s="2" t="s">
        <v>2345</v>
      </c>
      <c r="B183" s="2" t="s">
        <v>2195</v>
      </c>
      <c r="C183" s="2" t="s">
        <v>2334</v>
      </c>
      <c r="D183" s="2" t="s">
        <v>2346</v>
      </c>
      <c r="E183" s="2" t="s">
        <v>2347</v>
      </c>
      <c r="F183" s="2" t="s">
        <v>2348</v>
      </c>
      <c r="G183" s="2" t="s">
        <v>2349</v>
      </c>
      <c r="H183" s="2"/>
      <c r="I183" s="2" t="s">
        <v>2350</v>
      </c>
      <c r="J183" s="2"/>
      <c r="K183" s="2" t="s">
        <v>2350</v>
      </c>
      <c r="L183" s="2" t="s">
        <v>22</v>
      </c>
      <c r="M183" s="2" t="s">
        <v>2202</v>
      </c>
      <c r="N183" s="2" t="s">
        <v>13</v>
      </c>
      <c r="O183" s="2"/>
    </row>
    <row r="184" ht="72" spans="1:15">
      <c r="A184" s="2" t="s">
        <v>2351</v>
      </c>
      <c r="B184" s="2" t="s">
        <v>2195</v>
      </c>
      <c r="C184" s="2" t="s">
        <v>2334</v>
      </c>
      <c r="D184" s="2" t="s">
        <v>2352</v>
      </c>
      <c r="E184" s="2" t="s">
        <v>2353</v>
      </c>
      <c r="F184" s="2" t="s">
        <v>2354</v>
      </c>
      <c r="G184" s="2" t="s">
        <v>2355</v>
      </c>
      <c r="H184" s="2"/>
      <c r="I184" s="2" t="s">
        <v>2356</v>
      </c>
      <c r="J184" s="2"/>
      <c r="K184" s="2" t="s">
        <v>2356</v>
      </c>
      <c r="L184" s="2" t="s">
        <v>22</v>
      </c>
      <c r="M184" s="2" t="s">
        <v>2202</v>
      </c>
      <c r="N184" s="2" t="s">
        <v>13</v>
      </c>
      <c r="O184" s="2"/>
    </row>
    <row r="185" ht="100.8" spans="1:15">
      <c r="A185" s="2" t="s">
        <v>2357</v>
      </c>
      <c r="B185" s="2" t="s">
        <v>2195</v>
      </c>
      <c r="C185" s="2" t="s">
        <v>2358</v>
      </c>
      <c r="D185" s="2" t="s">
        <v>2359</v>
      </c>
      <c r="E185" s="2" t="s">
        <v>2360</v>
      </c>
      <c r="F185" s="2" t="s">
        <v>2361</v>
      </c>
      <c r="G185" s="2" t="s">
        <v>2362</v>
      </c>
      <c r="H185" s="2"/>
      <c r="I185" s="2" t="s">
        <v>2363</v>
      </c>
      <c r="J185" s="2"/>
      <c r="K185" s="2" t="s">
        <v>2363</v>
      </c>
      <c r="L185" s="2" t="s">
        <v>22</v>
      </c>
      <c r="M185" s="2" t="s">
        <v>2202</v>
      </c>
      <c r="N185" s="2" t="s">
        <v>13</v>
      </c>
      <c r="O185" s="2"/>
    </row>
    <row r="186" ht="57.6" spans="1:15">
      <c r="A186" s="2" t="s">
        <v>2364</v>
      </c>
      <c r="B186" s="2" t="s">
        <v>2195</v>
      </c>
      <c r="C186" s="2" t="s">
        <v>2358</v>
      </c>
      <c r="D186" s="2" t="s">
        <v>2365</v>
      </c>
      <c r="E186" s="2" t="s">
        <v>2366</v>
      </c>
      <c r="F186" s="2" t="s">
        <v>2281</v>
      </c>
      <c r="G186" s="2" t="s">
        <v>2367</v>
      </c>
      <c r="H186" s="2"/>
      <c r="I186" s="2" t="s">
        <v>2368</v>
      </c>
      <c r="J186" s="2"/>
      <c r="K186" s="2" t="s">
        <v>2368</v>
      </c>
      <c r="L186" s="2" t="s">
        <v>22</v>
      </c>
      <c r="M186" s="2" t="s">
        <v>2202</v>
      </c>
      <c r="N186" s="2" t="s">
        <v>13</v>
      </c>
      <c r="O186" s="2"/>
    </row>
    <row r="187" ht="86.4" spans="1:15">
      <c r="A187" s="2" t="s">
        <v>2369</v>
      </c>
      <c r="B187" s="2" t="s">
        <v>2195</v>
      </c>
      <c r="C187" s="2" t="s">
        <v>2358</v>
      </c>
      <c r="D187" s="2" t="s">
        <v>2370</v>
      </c>
      <c r="E187" s="2" t="s">
        <v>2371</v>
      </c>
      <c r="F187" s="2" t="s">
        <v>2281</v>
      </c>
      <c r="G187" s="2" t="s">
        <v>2372</v>
      </c>
      <c r="H187" s="2"/>
      <c r="I187" s="2" t="s">
        <v>2373</v>
      </c>
      <c r="J187" s="2"/>
      <c r="K187" s="2" t="s">
        <v>2284</v>
      </c>
      <c r="L187" s="2" t="s">
        <v>23</v>
      </c>
      <c r="M187" s="2" t="s">
        <v>2202</v>
      </c>
      <c r="N187" s="2" t="s">
        <v>13</v>
      </c>
      <c r="O187" s="2"/>
    </row>
    <row r="188" ht="86.4" spans="1:15">
      <c r="A188" s="2" t="s">
        <v>2374</v>
      </c>
      <c r="B188" s="2" t="s">
        <v>2195</v>
      </c>
      <c r="C188" s="2" t="s">
        <v>2358</v>
      </c>
      <c r="D188" s="2" t="s">
        <v>2375</v>
      </c>
      <c r="E188" s="2" t="s">
        <v>2376</v>
      </c>
      <c r="F188" s="2" t="s">
        <v>2281</v>
      </c>
      <c r="G188" s="2" t="s">
        <v>2377</v>
      </c>
      <c r="H188" s="2"/>
      <c r="I188" s="2" t="s">
        <v>2378</v>
      </c>
      <c r="J188" s="2"/>
      <c r="K188" s="2" t="s">
        <v>2378</v>
      </c>
      <c r="L188" s="2" t="s">
        <v>22</v>
      </c>
      <c r="M188" s="2" t="s">
        <v>2202</v>
      </c>
      <c r="N188" s="2" t="s">
        <v>13</v>
      </c>
      <c r="O188" s="2"/>
    </row>
    <row r="189" ht="86.4" spans="1:15">
      <c r="A189" s="2" t="s">
        <v>2379</v>
      </c>
      <c r="B189" s="2" t="s">
        <v>2195</v>
      </c>
      <c r="C189" s="2" t="s">
        <v>2358</v>
      </c>
      <c r="D189" s="2" t="s">
        <v>2380</v>
      </c>
      <c r="E189" s="2" t="s">
        <v>2381</v>
      </c>
      <c r="F189" s="2" t="s">
        <v>2382</v>
      </c>
      <c r="G189" s="2" t="s">
        <v>2383</v>
      </c>
      <c r="H189" s="2"/>
      <c r="I189" s="2" t="s">
        <v>2384</v>
      </c>
      <c r="J189" s="2"/>
      <c r="K189" s="2" t="s">
        <v>2384</v>
      </c>
      <c r="L189" s="2" t="s">
        <v>22</v>
      </c>
      <c r="M189" s="2" t="s">
        <v>2202</v>
      </c>
      <c r="N189" s="2" t="s">
        <v>13</v>
      </c>
      <c r="O189" s="2"/>
    </row>
    <row r="190" ht="57.6" spans="1:15">
      <c r="A190" s="2" t="s">
        <v>2385</v>
      </c>
      <c r="B190" s="2" t="s">
        <v>2195</v>
      </c>
      <c r="C190" s="2" t="s">
        <v>2386</v>
      </c>
      <c r="D190" s="2" t="s">
        <v>2387</v>
      </c>
      <c r="E190" s="2" t="s">
        <v>2388</v>
      </c>
      <c r="F190" s="2" t="s">
        <v>2389</v>
      </c>
      <c r="G190" s="2" t="s">
        <v>2390</v>
      </c>
      <c r="H190" s="2"/>
      <c r="I190" s="2" t="s">
        <v>2391</v>
      </c>
      <c r="J190" s="2"/>
      <c r="K190" s="2" t="s">
        <v>2391</v>
      </c>
      <c r="L190" s="2" t="s">
        <v>22</v>
      </c>
      <c r="M190" s="2" t="s">
        <v>2202</v>
      </c>
      <c r="N190" s="2" t="s">
        <v>13</v>
      </c>
      <c r="O190" s="2"/>
    </row>
    <row r="191" ht="72" spans="1:15">
      <c r="A191" s="2" t="s">
        <v>2392</v>
      </c>
      <c r="B191" s="2" t="s">
        <v>2195</v>
      </c>
      <c r="C191" s="2" t="s">
        <v>2386</v>
      </c>
      <c r="D191" s="2" t="s">
        <v>2393</v>
      </c>
      <c r="E191" s="2" t="s">
        <v>2394</v>
      </c>
      <c r="F191" s="2" t="s">
        <v>2395</v>
      </c>
      <c r="G191" s="2" t="s">
        <v>2396</v>
      </c>
      <c r="H191" s="2"/>
      <c r="I191" s="2" t="s">
        <v>2397</v>
      </c>
      <c r="J191" s="2"/>
      <c r="K191" s="2" t="s">
        <v>2397</v>
      </c>
      <c r="L191" s="2" t="s">
        <v>22</v>
      </c>
      <c r="M191" s="2" t="s">
        <v>2202</v>
      </c>
      <c r="N191" s="2" t="s">
        <v>13</v>
      </c>
      <c r="O191" s="2"/>
    </row>
    <row r="192" ht="86.4" spans="1:15">
      <c r="A192" s="2" t="s">
        <v>2398</v>
      </c>
      <c r="B192" s="2" t="s">
        <v>2195</v>
      </c>
      <c r="C192" s="2" t="s">
        <v>2386</v>
      </c>
      <c r="D192" s="2" t="s">
        <v>2399</v>
      </c>
      <c r="E192" s="2" t="s">
        <v>2400</v>
      </c>
      <c r="F192" s="2" t="s">
        <v>2395</v>
      </c>
      <c r="G192" s="2" t="s">
        <v>2401</v>
      </c>
      <c r="H192" s="2"/>
      <c r="I192" s="2" t="s">
        <v>2402</v>
      </c>
      <c r="J192" s="2"/>
      <c r="K192" s="2" t="s">
        <v>2284</v>
      </c>
      <c r="L192" s="2" t="s">
        <v>23</v>
      </c>
      <c r="M192" s="2" t="s">
        <v>2202</v>
      </c>
      <c r="N192" s="2" t="s">
        <v>13</v>
      </c>
      <c r="O192" s="2"/>
    </row>
    <row r="193" ht="86.4" spans="1:15">
      <c r="A193" s="2" t="s">
        <v>2403</v>
      </c>
      <c r="B193" s="2" t="s">
        <v>2195</v>
      </c>
      <c r="C193" s="2" t="s">
        <v>2386</v>
      </c>
      <c r="D193" s="2" t="s">
        <v>2404</v>
      </c>
      <c r="E193" s="2" t="s">
        <v>2405</v>
      </c>
      <c r="F193" s="2" t="s">
        <v>2395</v>
      </c>
      <c r="G193" s="2" t="s">
        <v>2406</v>
      </c>
      <c r="H193" s="2"/>
      <c r="I193" s="2" t="s">
        <v>2407</v>
      </c>
      <c r="J193" s="2"/>
      <c r="K193" s="2" t="s">
        <v>2407</v>
      </c>
      <c r="L193" s="2" t="s">
        <v>22</v>
      </c>
      <c r="M193" s="2" t="s">
        <v>2202</v>
      </c>
      <c r="N193" s="2" t="s">
        <v>13</v>
      </c>
      <c r="O193" s="2"/>
    </row>
    <row r="194" ht="72" spans="1:15">
      <c r="A194" s="2" t="s">
        <v>2408</v>
      </c>
      <c r="B194" s="2" t="s">
        <v>2195</v>
      </c>
      <c r="C194" s="2" t="s">
        <v>2409</v>
      </c>
      <c r="D194" s="2" t="s">
        <v>2410</v>
      </c>
      <c r="E194" s="2" t="s">
        <v>2411</v>
      </c>
      <c r="F194" s="2" t="s">
        <v>2412</v>
      </c>
      <c r="G194" s="2" t="s">
        <v>2413</v>
      </c>
      <c r="H194" s="2"/>
      <c r="I194" s="2" t="s">
        <v>2414</v>
      </c>
      <c r="J194" s="2"/>
      <c r="K194" s="2" t="s">
        <v>2414</v>
      </c>
      <c r="L194" s="2" t="s">
        <v>22</v>
      </c>
      <c r="M194" s="2" t="s">
        <v>2202</v>
      </c>
      <c r="N194" s="2" t="s">
        <v>13</v>
      </c>
      <c r="O194" s="2"/>
    </row>
    <row r="195" ht="86.4" spans="1:15">
      <c r="A195" s="2" t="s">
        <v>2415</v>
      </c>
      <c r="B195" s="2" t="s">
        <v>2195</v>
      </c>
      <c r="C195" s="2" t="s">
        <v>2409</v>
      </c>
      <c r="D195" s="2" t="s">
        <v>2416</v>
      </c>
      <c r="E195" s="2" t="s">
        <v>2417</v>
      </c>
      <c r="F195" s="2" t="s">
        <v>2418</v>
      </c>
      <c r="G195" s="2" t="s">
        <v>2419</v>
      </c>
      <c r="H195" s="2"/>
      <c r="I195" s="2" t="s">
        <v>2420</v>
      </c>
      <c r="J195" s="2"/>
      <c r="K195" s="2" t="s">
        <v>2420</v>
      </c>
      <c r="L195" s="2" t="s">
        <v>22</v>
      </c>
      <c r="M195" s="2" t="s">
        <v>2202</v>
      </c>
      <c r="N195" s="2" t="s">
        <v>13</v>
      </c>
      <c r="O195" s="2"/>
    </row>
    <row r="196" ht="57.6" spans="1:15">
      <c r="A196" s="2" t="s">
        <v>2421</v>
      </c>
      <c r="B196" s="2" t="s">
        <v>2195</v>
      </c>
      <c r="C196" s="2" t="s">
        <v>2422</v>
      </c>
      <c r="D196" s="2" t="s">
        <v>2423</v>
      </c>
      <c r="E196" s="2" t="s">
        <v>2424</v>
      </c>
      <c r="F196" s="2" t="s">
        <v>2425</v>
      </c>
      <c r="G196" s="2" t="s">
        <v>2426</v>
      </c>
      <c r="H196" s="2"/>
      <c r="I196" s="2" t="s">
        <v>2427</v>
      </c>
      <c r="J196" s="2"/>
      <c r="K196" s="2" t="s">
        <v>2427</v>
      </c>
      <c r="L196" s="2" t="s">
        <v>22</v>
      </c>
      <c r="M196" s="2" t="s">
        <v>2202</v>
      </c>
      <c r="N196" s="2" t="s">
        <v>13</v>
      </c>
      <c r="O196" s="2"/>
    </row>
    <row r="197" ht="57.6" spans="1:15">
      <c r="A197" s="2" t="s">
        <v>2428</v>
      </c>
      <c r="B197" s="2" t="s">
        <v>2195</v>
      </c>
      <c r="C197" s="2" t="s">
        <v>2422</v>
      </c>
      <c r="D197" s="2" t="s">
        <v>2429</v>
      </c>
      <c r="E197" s="2" t="s">
        <v>2430</v>
      </c>
      <c r="F197" s="2" t="s">
        <v>2431</v>
      </c>
      <c r="G197" s="2" t="s">
        <v>2432</v>
      </c>
      <c r="H197" s="2"/>
      <c r="I197" s="2" t="s">
        <v>2433</v>
      </c>
      <c r="J197" s="2"/>
      <c r="K197" s="2" t="s">
        <v>2284</v>
      </c>
      <c r="L197" s="2" t="s">
        <v>23</v>
      </c>
      <c r="M197" s="2" t="s">
        <v>2202</v>
      </c>
      <c r="N197" s="2" t="s">
        <v>13</v>
      </c>
      <c r="O197" s="2"/>
    </row>
    <row r="198" ht="57.6" spans="1:15">
      <c r="A198" s="2" t="s">
        <v>2434</v>
      </c>
      <c r="B198" s="2" t="s">
        <v>2195</v>
      </c>
      <c r="C198" s="2" t="s">
        <v>2435</v>
      </c>
      <c r="D198" s="2" t="s">
        <v>2436</v>
      </c>
      <c r="E198" s="2" t="s">
        <v>2437</v>
      </c>
      <c r="F198" s="2" t="s">
        <v>2438</v>
      </c>
      <c r="G198" s="2" t="s">
        <v>2439</v>
      </c>
      <c r="H198" s="2"/>
      <c r="I198" s="2" t="s">
        <v>2440</v>
      </c>
      <c r="J198" s="2"/>
      <c r="K198" s="2" t="s">
        <v>2440</v>
      </c>
      <c r="L198" s="2" t="s">
        <v>22</v>
      </c>
      <c r="M198" s="2" t="s">
        <v>2202</v>
      </c>
      <c r="N198" s="2" t="s">
        <v>13</v>
      </c>
      <c r="O198" s="2"/>
    </row>
    <row r="199" ht="57.6" spans="1:15">
      <c r="A199" s="2" t="s">
        <v>2441</v>
      </c>
      <c r="B199" s="2" t="s">
        <v>2195</v>
      </c>
      <c r="C199" s="2" t="s">
        <v>2435</v>
      </c>
      <c r="D199" s="2" t="s">
        <v>2442</v>
      </c>
      <c r="E199" s="2" t="s">
        <v>2443</v>
      </c>
      <c r="F199" s="2" t="s">
        <v>2444</v>
      </c>
      <c r="G199" s="2" t="s">
        <v>2445</v>
      </c>
      <c r="H199" s="2"/>
      <c r="I199" s="2" t="s">
        <v>2446</v>
      </c>
      <c r="J199" s="2"/>
      <c r="K199" s="2" t="s">
        <v>2446</v>
      </c>
      <c r="L199" s="2" t="s">
        <v>22</v>
      </c>
      <c r="M199" s="2" t="s">
        <v>2202</v>
      </c>
      <c r="N199" s="2" t="s">
        <v>13</v>
      </c>
      <c r="O199" s="2"/>
    </row>
    <row r="200" ht="43.2" spans="1:15">
      <c r="A200" s="2" t="s">
        <v>2447</v>
      </c>
      <c r="B200" s="2" t="s">
        <v>2195</v>
      </c>
      <c r="C200" s="2" t="s">
        <v>2435</v>
      </c>
      <c r="D200" s="2" t="s">
        <v>2448</v>
      </c>
      <c r="E200" s="2" t="s">
        <v>2449</v>
      </c>
      <c r="F200" s="2" t="s">
        <v>2450</v>
      </c>
      <c r="G200" s="2" t="s">
        <v>2451</v>
      </c>
      <c r="H200" s="2"/>
      <c r="I200" s="2" t="s">
        <v>2452</v>
      </c>
      <c r="J200" s="2"/>
      <c r="K200" s="2" t="s">
        <v>2452</v>
      </c>
      <c r="L200" s="2" t="s">
        <v>22</v>
      </c>
      <c r="M200" s="2" t="s">
        <v>2202</v>
      </c>
      <c r="N200" s="2" t="s">
        <v>13</v>
      </c>
      <c r="O200" s="2"/>
    </row>
    <row r="201" ht="72" spans="1:15">
      <c r="A201" s="2" t="s">
        <v>2453</v>
      </c>
      <c r="B201" s="2" t="s">
        <v>2195</v>
      </c>
      <c r="C201" s="2" t="s">
        <v>2435</v>
      </c>
      <c r="D201" s="2" t="s">
        <v>2454</v>
      </c>
      <c r="E201" s="2" t="s">
        <v>2455</v>
      </c>
      <c r="F201" s="2" t="s">
        <v>2456</v>
      </c>
      <c r="G201" s="2" t="s">
        <v>2457</v>
      </c>
      <c r="H201" s="2"/>
      <c r="I201" s="2" t="s">
        <v>2458</v>
      </c>
      <c r="J201" s="2"/>
      <c r="K201" s="2" t="s">
        <v>2458</v>
      </c>
      <c r="L201" s="2" t="s">
        <v>22</v>
      </c>
      <c r="M201" s="2" t="s">
        <v>2202</v>
      </c>
      <c r="N201" s="2" t="s">
        <v>13</v>
      </c>
      <c r="O201" s="2"/>
    </row>
    <row r="202" ht="43.2" spans="1:15">
      <c r="A202" s="2" t="s">
        <v>2459</v>
      </c>
      <c r="B202" s="2" t="s">
        <v>2195</v>
      </c>
      <c r="C202" s="2" t="s">
        <v>2435</v>
      </c>
      <c r="D202" s="2" t="s">
        <v>2460</v>
      </c>
      <c r="E202" s="2" t="s">
        <v>2461</v>
      </c>
      <c r="F202" s="2" t="s">
        <v>2450</v>
      </c>
      <c r="G202" s="2" t="s">
        <v>2462</v>
      </c>
      <c r="H202" s="2"/>
      <c r="I202" s="2" t="s">
        <v>2463</v>
      </c>
      <c r="J202" s="2"/>
      <c r="K202" s="2" t="s">
        <v>2284</v>
      </c>
      <c r="L202" s="2" t="s">
        <v>23</v>
      </c>
      <c r="M202" s="2" t="s">
        <v>2202</v>
      </c>
      <c r="N202" s="2" t="s">
        <v>13</v>
      </c>
      <c r="O202" s="2"/>
    </row>
    <row r="203" ht="86.4" spans="1:15">
      <c r="A203" s="2" t="s">
        <v>2464</v>
      </c>
      <c r="B203" s="2" t="s">
        <v>107</v>
      </c>
      <c r="C203" s="2" t="s">
        <v>2465</v>
      </c>
      <c r="D203" s="2" t="s">
        <v>2466</v>
      </c>
      <c r="E203" s="2" t="s">
        <v>2467</v>
      </c>
      <c r="F203" s="2" t="s">
        <v>2468</v>
      </c>
      <c r="G203" s="2" t="s">
        <v>2469</v>
      </c>
      <c r="H203" s="2"/>
      <c r="I203" s="2" t="s">
        <v>2470</v>
      </c>
      <c r="J203" s="2"/>
      <c r="K203" s="2" t="s">
        <v>2470</v>
      </c>
      <c r="L203" s="2" t="s">
        <v>22</v>
      </c>
      <c r="M203" s="2" t="s">
        <v>2202</v>
      </c>
      <c r="N203" s="2" t="s">
        <v>13</v>
      </c>
      <c r="O203" s="2"/>
    </row>
    <row r="204" ht="144" spans="1:15">
      <c r="A204" s="2" t="s">
        <v>2471</v>
      </c>
      <c r="B204" s="2" t="s">
        <v>2195</v>
      </c>
      <c r="C204" s="2" t="s">
        <v>2465</v>
      </c>
      <c r="D204" s="2" t="s">
        <v>2472</v>
      </c>
      <c r="E204" s="2" t="s">
        <v>2473</v>
      </c>
      <c r="F204" s="2" t="s">
        <v>2474</v>
      </c>
      <c r="G204" s="2" t="s">
        <v>2475</v>
      </c>
      <c r="H204" s="2"/>
      <c r="I204" s="2" t="s">
        <v>2476</v>
      </c>
      <c r="J204" s="2"/>
      <c r="K204" s="2" t="s">
        <v>2476</v>
      </c>
      <c r="L204" s="2" t="s">
        <v>22</v>
      </c>
      <c r="M204" s="2" t="s">
        <v>2202</v>
      </c>
      <c r="N204" s="2" t="s">
        <v>13</v>
      </c>
      <c r="O204" s="2"/>
    </row>
    <row r="205" ht="72" spans="1:15">
      <c r="A205" s="2" t="s">
        <v>2477</v>
      </c>
      <c r="B205" s="2" t="s">
        <v>2195</v>
      </c>
      <c r="C205" s="2" t="s">
        <v>2465</v>
      </c>
      <c r="D205" s="2" t="s">
        <v>2478</v>
      </c>
      <c r="E205" s="2" t="s">
        <v>2479</v>
      </c>
      <c r="F205" s="2" t="s">
        <v>2480</v>
      </c>
      <c r="G205" s="2" t="s">
        <v>2481</v>
      </c>
      <c r="H205" s="2"/>
      <c r="I205" s="2" t="s">
        <v>2482</v>
      </c>
      <c r="J205" s="2"/>
      <c r="K205" s="2" t="s">
        <v>2482</v>
      </c>
      <c r="L205" s="2" t="s">
        <v>22</v>
      </c>
      <c r="M205" s="2" t="s">
        <v>2202</v>
      </c>
      <c r="N205" s="2" t="s">
        <v>13</v>
      </c>
      <c r="O205" s="2"/>
    </row>
    <row r="206" ht="43.2" spans="1:15">
      <c r="A206" s="2" t="s">
        <v>2483</v>
      </c>
      <c r="B206" s="2" t="s">
        <v>2195</v>
      </c>
      <c r="C206" s="2" t="s">
        <v>2484</v>
      </c>
      <c r="D206" s="2" t="s">
        <v>2485</v>
      </c>
      <c r="E206" s="2" t="s">
        <v>2486</v>
      </c>
      <c r="F206" s="2" t="s">
        <v>2487</v>
      </c>
      <c r="G206" s="2" t="s">
        <v>2488</v>
      </c>
      <c r="H206" s="2"/>
      <c r="I206" s="2" t="s">
        <v>2489</v>
      </c>
      <c r="J206" s="2"/>
      <c r="K206" s="2" t="s">
        <v>2489</v>
      </c>
      <c r="L206" s="2" t="s">
        <v>22</v>
      </c>
      <c r="M206" s="2" t="s">
        <v>2202</v>
      </c>
      <c r="N206" s="2" t="s">
        <v>13</v>
      </c>
      <c r="O206" s="2"/>
    </row>
    <row r="207" ht="43.2" spans="1:15">
      <c r="A207" s="2" t="s">
        <v>2490</v>
      </c>
      <c r="B207" s="2" t="s">
        <v>2195</v>
      </c>
      <c r="C207" s="2" t="s">
        <v>2484</v>
      </c>
      <c r="D207" s="2" t="s">
        <v>2491</v>
      </c>
      <c r="E207" s="2" t="s">
        <v>2492</v>
      </c>
      <c r="F207" s="2" t="s">
        <v>2493</v>
      </c>
      <c r="G207" s="2" t="s">
        <v>2494</v>
      </c>
      <c r="H207" s="2"/>
      <c r="I207" s="2" t="s">
        <v>2489</v>
      </c>
      <c r="J207" s="2"/>
      <c r="K207" s="2" t="s">
        <v>2284</v>
      </c>
      <c r="L207" s="2" t="s">
        <v>23</v>
      </c>
      <c r="M207" s="2" t="s">
        <v>2202</v>
      </c>
      <c r="N207" s="2" t="s">
        <v>13</v>
      </c>
      <c r="O207" s="2"/>
    </row>
    <row r="208" ht="43.2" spans="1:15">
      <c r="A208" s="2" t="s">
        <v>2495</v>
      </c>
      <c r="B208" s="2" t="s">
        <v>2195</v>
      </c>
      <c r="C208" s="2" t="s">
        <v>2484</v>
      </c>
      <c r="D208" s="2" t="s">
        <v>2496</v>
      </c>
      <c r="E208" s="2" t="s">
        <v>2497</v>
      </c>
      <c r="F208" s="2" t="s">
        <v>2498</v>
      </c>
      <c r="G208" s="2" t="s">
        <v>2498</v>
      </c>
      <c r="H208" s="2"/>
      <c r="I208" s="2" t="s">
        <v>2489</v>
      </c>
      <c r="J208" s="2"/>
      <c r="K208" s="2" t="s">
        <v>2489</v>
      </c>
      <c r="L208" s="2" t="s">
        <v>22</v>
      </c>
      <c r="M208" s="2" t="s">
        <v>2202</v>
      </c>
      <c r="N208" s="2" t="s">
        <v>13</v>
      </c>
      <c r="O208" s="2"/>
    </row>
    <row r="209" ht="57.6" spans="1:15">
      <c r="A209" s="2" t="s">
        <v>2499</v>
      </c>
      <c r="B209" s="2" t="s">
        <v>2195</v>
      </c>
      <c r="C209" s="2" t="s">
        <v>2484</v>
      </c>
      <c r="D209" s="2" t="s">
        <v>2500</v>
      </c>
      <c r="E209" s="2" t="s">
        <v>2501</v>
      </c>
      <c r="F209" s="2" t="s">
        <v>2493</v>
      </c>
      <c r="G209" s="2" t="s">
        <v>2502</v>
      </c>
      <c r="H209" s="2"/>
      <c r="I209" s="2" t="s">
        <v>2503</v>
      </c>
      <c r="J209" s="2"/>
      <c r="K209" s="2" t="s">
        <v>2503</v>
      </c>
      <c r="L209" s="2" t="s">
        <v>22</v>
      </c>
      <c r="M209" s="2" t="s">
        <v>2202</v>
      </c>
      <c r="N209" s="2" t="s">
        <v>13</v>
      </c>
      <c r="O209" s="2"/>
    </row>
    <row r="210" ht="57.6" spans="1:15">
      <c r="A210" s="2" t="s">
        <v>2504</v>
      </c>
      <c r="B210" s="2" t="s">
        <v>2195</v>
      </c>
      <c r="C210" s="2" t="s">
        <v>2505</v>
      </c>
      <c r="D210" s="2" t="s">
        <v>2506</v>
      </c>
      <c r="E210" s="2" t="s">
        <v>2507</v>
      </c>
      <c r="F210" s="2" t="s">
        <v>2508</v>
      </c>
      <c r="G210" s="2" t="s">
        <v>2509</v>
      </c>
      <c r="H210" s="2"/>
      <c r="I210" s="2" t="s">
        <v>2510</v>
      </c>
      <c r="J210" s="2"/>
      <c r="K210" s="2" t="s">
        <v>2510</v>
      </c>
      <c r="L210" s="2" t="s">
        <v>22</v>
      </c>
      <c r="M210" s="2" t="s">
        <v>2202</v>
      </c>
      <c r="N210" s="2" t="s">
        <v>13</v>
      </c>
      <c r="O210" s="2"/>
    </row>
    <row r="211" ht="57.6" spans="1:15">
      <c r="A211" s="2" t="s">
        <v>2511</v>
      </c>
      <c r="B211" s="2" t="s">
        <v>2195</v>
      </c>
      <c r="C211" s="2" t="s">
        <v>2505</v>
      </c>
      <c r="D211" s="2" t="s">
        <v>2512</v>
      </c>
      <c r="E211" s="2" t="s">
        <v>2513</v>
      </c>
      <c r="F211" s="2" t="s">
        <v>2514</v>
      </c>
      <c r="G211" s="2" t="s">
        <v>2515</v>
      </c>
      <c r="H211" s="2"/>
      <c r="I211" s="2" t="s">
        <v>2516</v>
      </c>
      <c r="J211" s="2"/>
      <c r="K211" s="2" t="s">
        <v>2516</v>
      </c>
      <c r="L211" s="2" t="s">
        <v>22</v>
      </c>
      <c r="M211" s="2" t="s">
        <v>2202</v>
      </c>
      <c r="N211" s="2" t="s">
        <v>13</v>
      </c>
      <c r="O211" s="2"/>
    </row>
    <row r="212" ht="57.6" spans="1:15">
      <c r="A212" s="2" t="s">
        <v>2517</v>
      </c>
      <c r="B212" s="2" t="s">
        <v>2195</v>
      </c>
      <c r="C212" s="2" t="s">
        <v>2505</v>
      </c>
      <c r="D212" s="2" t="s">
        <v>2518</v>
      </c>
      <c r="E212" s="2" t="s">
        <v>2519</v>
      </c>
      <c r="F212" s="2" t="s">
        <v>2520</v>
      </c>
      <c r="G212" s="2" t="s">
        <v>2515</v>
      </c>
      <c r="H212" s="2"/>
      <c r="I212" s="2" t="s">
        <v>2521</v>
      </c>
      <c r="J212" s="2"/>
      <c r="K212" s="2" t="s">
        <v>2284</v>
      </c>
      <c r="L212" s="2" t="s">
        <v>23</v>
      </c>
      <c r="M212" s="2" t="s">
        <v>2202</v>
      </c>
      <c r="N212" s="2" t="s">
        <v>13</v>
      </c>
      <c r="O212" s="2"/>
    </row>
    <row r="213" ht="72" spans="1:15">
      <c r="A213" s="2" t="s">
        <v>2522</v>
      </c>
      <c r="B213" s="2" t="s">
        <v>2195</v>
      </c>
      <c r="C213" s="2" t="s">
        <v>2505</v>
      </c>
      <c r="D213" s="2" t="s">
        <v>2523</v>
      </c>
      <c r="E213" s="2" t="s">
        <v>2524</v>
      </c>
      <c r="F213" s="2" t="s">
        <v>2525</v>
      </c>
      <c r="G213" s="2" t="s">
        <v>2515</v>
      </c>
      <c r="H213" s="2"/>
      <c r="I213" s="2" t="s">
        <v>2526</v>
      </c>
      <c r="J213" s="2"/>
      <c r="K213" s="2" t="s">
        <v>2526</v>
      </c>
      <c r="L213" s="2" t="s">
        <v>22</v>
      </c>
      <c r="M213" s="2" t="s">
        <v>2202</v>
      </c>
      <c r="N213" s="2" t="s">
        <v>13</v>
      </c>
      <c r="O213" s="2"/>
    </row>
    <row r="214" ht="86.4" spans="1:15">
      <c r="A214" s="2" t="s">
        <v>2527</v>
      </c>
      <c r="B214" s="2" t="s">
        <v>2195</v>
      </c>
      <c r="C214" s="2" t="s">
        <v>2505</v>
      </c>
      <c r="D214" s="2" t="s">
        <v>2528</v>
      </c>
      <c r="E214" s="2" t="s">
        <v>2529</v>
      </c>
      <c r="F214" s="2" t="s">
        <v>2530</v>
      </c>
      <c r="G214" s="2" t="s">
        <v>2515</v>
      </c>
      <c r="H214" s="2"/>
      <c r="I214" s="2" t="s">
        <v>2531</v>
      </c>
      <c r="J214" s="2"/>
      <c r="K214" s="2" t="s">
        <v>2531</v>
      </c>
      <c r="L214" s="2" t="s">
        <v>22</v>
      </c>
      <c r="M214" s="2" t="s">
        <v>2202</v>
      </c>
      <c r="N214" s="2" t="s">
        <v>13</v>
      </c>
      <c r="O214" s="2"/>
    </row>
    <row r="215" ht="86.4" spans="1:15">
      <c r="A215" s="2" t="s">
        <v>2532</v>
      </c>
      <c r="B215" s="2" t="s">
        <v>2195</v>
      </c>
      <c r="C215" s="2" t="s">
        <v>2505</v>
      </c>
      <c r="D215" s="2" t="s">
        <v>2533</v>
      </c>
      <c r="E215" s="2" t="s">
        <v>2534</v>
      </c>
      <c r="F215" s="2" t="s">
        <v>2535</v>
      </c>
      <c r="G215" s="2" t="s">
        <v>2515</v>
      </c>
      <c r="H215" s="2"/>
      <c r="I215" s="2" t="s">
        <v>2531</v>
      </c>
      <c r="J215" s="2"/>
      <c r="K215" s="2" t="s">
        <v>2531</v>
      </c>
      <c r="L215" s="2" t="s">
        <v>22</v>
      </c>
      <c r="M215" s="2" t="s">
        <v>2202</v>
      </c>
      <c r="N215" s="2" t="s">
        <v>13</v>
      </c>
      <c r="O215" s="2"/>
    </row>
    <row r="216" ht="57.6" spans="1:15">
      <c r="A216" s="2" t="s">
        <v>2536</v>
      </c>
      <c r="B216" s="2" t="s">
        <v>2195</v>
      </c>
      <c r="C216" s="2" t="s">
        <v>2537</v>
      </c>
      <c r="D216" s="2" t="s">
        <v>2538</v>
      </c>
      <c r="E216" s="2" t="s">
        <v>2539</v>
      </c>
      <c r="F216" s="2" t="s">
        <v>2540</v>
      </c>
      <c r="G216" s="2" t="s">
        <v>2541</v>
      </c>
      <c r="H216" s="2"/>
      <c r="I216" s="2" t="s">
        <v>2542</v>
      </c>
      <c r="J216" s="2"/>
      <c r="K216" s="2" t="s">
        <v>2542</v>
      </c>
      <c r="L216" s="2" t="s">
        <v>22</v>
      </c>
      <c r="M216" s="2" t="s">
        <v>2202</v>
      </c>
      <c r="N216" s="2" t="s">
        <v>13</v>
      </c>
      <c r="O216" s="2"/>
    </row>
    <row r="217" ht="57.6" spans="1:15">
      <c r="A217" s="2" t="s">
        <v>2543</v>
      </c>
      <c r="B217" s="2" t="s">
        <v>2195</v>
      </c>
      <c r="C217" s="2" t="s">
        <v>2537</v>
      </c>
      <c r="D217" s="2" t="s">
        <v>2544</v>
      </c>
      <c r="E217" s="2" t="s">
        <v>2545</v>
      </c>
      <c r="F217" s="2" t="s">
        <v>2546</v>
      </c>
      <c r="G217" s="2" t="s">
        <v>2547</v>
      </c>
      <c r="H217" s="2"/>
      <c r="I217" s="2" t="s">
        <v>2548</v>
      </c>
      <c r="J217" s="2"/>
      <c r="K217" s="2" t="s">
        <v>2548</v>
      </c>
      <c r="L217" s="2" t="s">
        <v>22</v>
      </c>
      <c r="M217" s="2" t="s">
        <v>2202</v>
      </c>
      <c r="N217" s="2" t="s">
        <v>13</v>
      </c>
      <c r="O217" s="2"/>
    </row>
    <row r="218" ht="115.2" spans="1:15">
      <c r="A218" s="2" t="s">
        <v>2549</v>
      </c>
      <c r="B218" s="2" t="s">
        <v>2195</v>
      </c>
      <c r="C218" s="2" t="s">
        <v>2537</v>
      </c>
      <c r="D218" s="2" t="s">
        <v>2550</v>
      </c>
      <c r="E218" s="2" t="s">
        <v>2551</v>
      </c>
      <c r="F218" s="2" t="s">
        <v>2552</v>
      </c>
      <c r="G218" s="2" t="s">
        <v>2553</v>
      </c>
      <c r="H218" s="2"/>
      <c r="I218" s="2" t="s">
        <v>2554</v>
      </c>
      <c r="J218" s="2"/>
      <c r="K218" s="2" t="s">
        <v>2554</v>
      </c>
      <c r="L218" s="2" t="s">
        <v>22</v>
      </c>
      <c r="M218" s="2" t="s">
        <v>2202</v>
      </c>
      <c r="N218" s="2" t="s">
        <v>13</v>
      </c>
      <c r="O218" s="2"/>
    </row>
    <row r="219" ht="57.6" spans="1:15">
      <c r="A219" s="2" t="s">
        <v>2555</v>
      </c>
      <c r="B219" s="2" t="s">
        <v>2195</v>
      </c>
      <c r="C219" s="2" t="s">
        <v>2556</v>
      </c>
      <c r="D219" s="2" t="s">
        <v>2557</v>
      </c>
      <c r="E219" s="2" t="s">
        <v>2558</v>
      </c>
      <c r="F219" s="2" t="s">
        <v>2559</v>
      </c>
      <c r="G219" s="2" t="s">
        <v>2560</v>
      </c>
      <c r="H219" s="2"/>
      <c r="I219" s="2" t="s">
        <v>2561</v>
      </c>
      <c r="J219" s="2"/>
      <c r="K219" s="2" t="s">
        <v>2562</v>
      </c>
      <c r="L219" s="2" t="s">
        <v>23</v>
      </c>
      <c r="M219" s="2" t="s">
        <v>2202</v>
      </c>
      <c r="N219" s="2" t="s">
        <v>13</v>
      </c>
      <c r="O219" s="2"/>
    </row>
    <row r="220" ht="72" spans="1:15">
      <c r="A220" s="2" t="s">
        <v>2563</v>
      </c>
      <c r="B220" s="2" t="s">
        <v>2195</v>
      </c>
      <c r="C220" s="2" t="s">
        <v>2556</v>
      </c>
      <c r="D220" s="2" t="s">
        <v>2564</v>
      </c>
      <c r="E220" s="2" t="s">
        <v>2565</v>
      </c>
      <c r="F220" s="2" t="s">
        <v>2566</v>
      </c>
      <c r="G220" s="2" t="s">
        <v>2560</v>
      </c>
      <c r="H220" s="2"/>
      <c r="I220" s="2" t="s">
        <v>2567</v>
      </c>
      <c r="J220" s="2"/>
      <c r="K220" s="2" t="s">
        <v>2567</v>
      </c>
      <c r="L220" s="2" t="s">
        <v>22</v>
      </c>
      <c r="M220" s="2" t="s">
        <v>2202</v>
      </c>
      <c r="N220" s="2" t="s">
        <v>13</v>
      </c>
      <c r="O220" s="2"/>
    </row>
    <row r="221" ht="43.2" spans="1:15">
      <c r="A221" s="2" t="s">
        <v>2568</v>
      </c>
      <c r="B221" s="2" t="s">
        <v>2195</v>
      </c>
      <c r="C221" s="2" t="s">
        <v>2569</v>
      </c>
      <c r="D221" s="2" t="s">
        <v>2570</v>
      </c>
      <c r="E221" s="2" t="s">
        <v>2571</v>
      </c>
      <c r="F221" s="2" t="s">
        <v>2572</v>
      </c>
      <c r="G221" s="2" t="s">
        <v>2573</v>
      </c>
      <c r="H221" s="2"/>
      <c r="I221" s="2" t="s">
        <v>2574</v>
      </c>
      <c r="J221" s="2"/>
      <c r="K221" s="2" t="s">
        <v>2574</v>
      </c>
      <c r="L221" s="2" t="s">
        <v>22</v>
      </c>
      <c r="M221" s="2" t="s">
        <v>2202</v>
      </c>
      <c r="N221" s="2" t="s">
        <v>13</v>
      </c>
      <c r="O221" s="2"/>
    </row>
    <row r="222" ht="43.2" spans="1:15">
      <c r="A222" s="2" t="s">
        <v>2575</v>
      </c>
      <c r="B222" s="2" t="s">
        <v>2195</v>
      </c>
      <c r="C222" s="2" t="s">
        <v>2569</v>
      </c>
      <c r="D222" s="2" t="s">
        <v>2576</v>
      </c>
      <c r="E222" s="2" t="s">
        <v>2577</v>
      </c>
      <c r="F222" s="2" t="s">
        <v>2578</v>
      </c>
      <c r="G222" s="2" t="s">
        <v>2579</v>
      </c>
      <c r="H222" s="2"/>
      <c r="I222" s="2" t="s">
        <v>2580</v>
      </c>
      <c r="J222" s="2"/>
      <c r="K222" s="2" t="s">
        <v>2580</v>
      </c>
      <c r="L222" s="2" t="s">
        <v>22</v>
      </c>
      <c r="M222" s="2" t="s">
        <v>2202</v>
      </c>
      <c r="N222" s="2" t="s">
        <v>13</v>
      </c>
      <c r="O222" s="2"/>
    </row>
    <row r="223" ht="72" spans="1:15">
      <c r="A223" s="2" t="s">
        <v>2581</v>
      </c>
      <c r="B223" s="2" t="s">
        <v>2195</v>
      </c>
      <c r="C223" s="2" t="s">
        <v>2569</v>
      </c>
      <c r="D223" s="2" t="s">
        <v>2582</v>
      </c>
      <c r="E223" s="2" t="s">
        <v>2583</v>
      </c>
      <c r="F223" s="2" t="s">
        <v>2584</v>
      </c>
      <c r="G223" s="2" t="s">
        <v>2585</v>
      </c>
      <c r="H223" s="2"/>
      <c r="I223" s="2" t="s">
        <v>2586</v>
      </c>
      <c r="J223" s="2"/>
      <c r="K223" s="2" t="s">
        <v>2586</v>
      </c>
      <c r="L223" s="2" t="s">
        <v>22</v>
      </c>
      <c r="M223" s="2" t="s">
        <v>2202</v>
      </c>
      <c r="N223" s="2" t="s">
        <v>13</v>
      </c>
      <c r="O223" s="2"/>
    </row>
    <row r="224" ht="100.8" spans="1:15">
      <c r="A224" s="2" t="s">
        <v>2587</v>
      </c>
      <c r="B224" s="2" t="s">
        <v>2195</v>
      </c>
      <c r="C224" s="2" t="s">
        <v>2569</v>
      </c>
      <c r="D224" s="2" t="s">
        <v>2588</v>
      </c>
      <c r="E224" s="2" t="s">
        <v>2589</v>
      </c>
      <c r="F224" s="2" t="s">
        <v>2590</v>
      </c>
      <c r="G224" s="2" t="s">
        <v>2591</v>
      </c>
      <c r="H224" s="2"/>
      <c r="I224" s="2" t="s">
        <v>2592</v>
      </c>
      <c r="J224" s="2"/>
      <c r="K224" s="2" t="s">
        <v>2592</v>
      </c>
      <c r="L224" s="2" t="s">
        <v>22</v>
      </c>
      <c r="M224" s="2" t="s">
        <v>2202</v>
      </c>
      <c r="N224" s="2" t="s">
        <v>13</v>
      </c>
      <c r="O224" s="2"/>
    </row>
    <row r="225" ht="57.6" spans="1:15">
      <c r="A225" s="2" t="s">
        <v>2593</v>
      </c>
      <c r="B225" s="2" t="s">
        <v>2195</v>
      </c>
      <c r="C225" s="2" t="s">
        <v>2594</v>
      </c>
      <c r="D225" s="2" t="s">
        <v>2595</v>
      </c>
      <c r="E225" s="2" t="s">
        <v>2596</v>
      </c>
      <c r="F225" s="2" t="s">
        <v>2597</v>
      </c>
      <c r="G225" s="2" t="s">
        <v>2598</v>
      </c>
      <c r="H225" s="2"/>
      <c r="I225" s="2" t="s">
        <v>2599</v>
      </c>
      <c r="J225" s="2"/>
      <c r="K225" s="2" t="s">
        <v>2599</v>
      </c>
      <c r="L225" s="2" t="s">
        <v>22</v>
      </c>
      <c r="M225" s="2" t="s">
        <v>2202</v>
      </c>
      <c r="N225" s="2" t="s">
        <v>13</v>
      </c>
      <c r="O225" s="2"/>
    </row>
    <row r="226" ht="86.4" spans="1:15">
      <c r="A226" s="2" t="s">
        <v>2600</v>
      </c>
      <c r="B226" s="2" t="s">
        <v>2195</v>
      </c>
      <c r="C226" s="2" t="s">
        <v>2594</v>
      </c>
      <c r="D226" s="2" t="s">
        <v>2601</v>
      </c>
      <c r="E226" s="2" t="s">
        <v>2602</v>
      </c>
      <c r="F226" s="2" t="s">
        <v>2603</v>
      </c>
      <c r="G226" s="2" t="s">
        <v>2604</v>
      </c>
      <c r="H226" s="2"/>
      <c r="I226" s="2" t="s">
        <v>2605</v>
      </c>
      <c r="J226" s="2"/>
      <c r="K226" s="2" t="s">
        <v>2605</v>
      </c>
      <c r="L226" s="2" t="s">
        <v>22</v>
      </c>
      <c r="M226" s="2" t="s">
        <v>2202</v>
      </c>
      <c r="N226" s="2" t="s">
        <v>13</v>
      </c>
      <c r="O226" s="2"/>
    </row>
    <row r="227" ht="57.6" spans="1:15">
      <c r="A227" s="2" t="s">
        <v>2606</v>
      </c>
      <c r="B227" s="2" t="s">
        <v>2195</v>
      </c>
      <c r="C227" s="2" t="s">
        <v>2594</v>
      </c>
      <c r="D227" s="2" t="s">
        <v>2607</v>
      </c>
      <c r="E227" s="2" t="s">
        <v>2608</v>
      </c>
      <c r="F227" s="2" t="s">
        <v>2609</v>
      </c>
      <c r="G227" s="2" t="s">
        <v>2610</v>
      </c>
      <c r="H227" s="2"/>
      <c r="I227" s="2" t="s">
        <v>2611</v>
      </c>
      <c r="J227" s="2"/>
      <c r="K227" s="2" t="s">
        <v>2611</v>
      </c>
      <c r="L227" s="2" t="s">
        <v>22</v>
      </c>
      <c r="M227" s="2" t="s">
        <v>2202</v>
      </c>
      <c r="N227" s="2" t="s">
        <v>13</v>
      </c>
      <c r="O227" s="2"/>
    </row>
    <row r="228" ht="57.6" spans="1:15">
      <c r="A228" s="2" t="s">
        <v>2612</v>
      </c>
      <c r="B228" s="2" t="s">
        <v>2195</v>
      </c>
      <c r="C228" s="2" t="s">
        <v>2613</v>
      </c>
      <c r="D228" s="2" t="s">
        <v>2614</v>
      </c>
      <c r="E228" s="2" t="s">
        <v>2615</v>
      </c>
      <c r="F228" s="2" t="s">
        <v>2616</v>
      </c>
      <c r="G228" s="2" t="s">
        <v>2617</v>
      </c>
      <c r="H228" s="2"/>
      <c r="I228" s="2" t="s">
        <v>2618</v>
      </c>
      <c r="J228" s="2"/>
      <c r="K228" s="2" t="s">
        <v>2618</v>
      </c>
      <c r="L228" s="2" t="s">
        <v>22</v>
      </c>
      <c r="M228" s="2" t="s">
        <v>2202</v>
      </c>
      <c r="N228" s="2" t="s">
        <v>13</v>
      </c>
      <c r="O228" s="2"/>
    </row>
    <row r="229" ht="57.6" spans="1:15">
      <c r="A229" s="2" t="s">
        <v>2619</v>
      </c>
      <c r="B229" s="2" t="s">
        <v>2195</v>
      </c>
      <c r="C229" s="2" t="s">
        <v>2613</v>
      </c>
      <c r="D229" s="2" t="s">
        <v>2620</v>
      </c>
      <c r="E229" s="2" t="s">
        <v>2621</v>
      </c>
      <c r="F229" s="2" t="s">
        <v>2622</v>
      </c>
      <c r="G229" s="2" t="s">
        <v>2623</v>
      </c>
      <c r="H229" s="2"/>
      <c r="I229" s="2" t="s">
        <v>2624</v>
      </c>
      <c r="J229" s="2"/>
      <c r="K229" s="2" t="s">
        <v>2624</v>
      </c>
      <c r="L229" s="2" t="s">
        <v>22</v>
      </c>
      <c r="M229" s="2" t="s">
        <v>2202</v>
      </c>
      <c r="N229" s="2" t="s">
        <v>13</v>
      </c>
      <c r="O229" s="2"/>
    </row>
    <row r="230" ht="57.6" spans="1:15">
      <c r="A230" s="2" t="s">
        <v>2625</v>
      </c>
      <c r="B230" s="2" t="s">
        <v>2195</v>
      </c>
      <c r="C230" s="2" t="s">
        <v>2613</v>
      </c>
      <c r="D230" s="2" t="s">
        <v>2626</v>
      </c>
      <c r="E230" s="2" t="s">
        <v>2627</v>
      </c>
      <c r="F230" s="2" t="s">
        <v>2628</v>
      </c>
      <c r="G230" s="2" t="s">
        <v>2628</v>
      </c>
      <c r="H230" s="2"/>
      <c r="I230" s="2" t="s">
        <v>2629</v>
      </c>
      <c r="J230" s="2"/>
      <c r="K230" s="2" t="s">
        <v>2629</v>
      </c>
      <c r="L230" s="2" t="s">
        <v>22</v>
      </c>
      <c r="M230" s="2" t="s">
        <v>2202</v>
      </c>
      <c r="N230" s="2" t="s">
        <v>13</v>
      </c>
      <c r="O230" s="2"/>
    </row>
    <row r="231" ht="57.6" spans="1:15">
      <c r="A231" s="2" t="s">
        <v>2630</v>
      </c>
      <c r="B231" s="2" t="s">
        <v>2195</v>
      </c>
      <c r="C231" s="2" t="s">
        <v>2631</v>
      </c>
      <c r="D231" s="2" t="s">
        <v>2632</v>
      </c>
      <c r="E231" s="2" t="s">
        <v>2633</v>
      </c>
      <c r="F231" s="2" t="s">
        <v>2634</v>
      </c>
      <c r="G231" s="2" t="s">
        <v>2635</v>
      </c>
      <c r="H231" s="2"/>
      <c r="I231" s="2" t="s">
        <v>2636</v>
      </c>
      <c r="J231" s="2"/>
      <c r="K231" s="2" t="s">
        <v>2636</v>
      </c>
      <c r="L231" s="2" t="s">
        <v>22</v>
      </c>
      <c r="M231" s="2" t="s">
        <v>2202</v>
      </c>
      <c r="N231" s="2" t="s">
        <v>13</v>
      </c>
      <c r="O231" s="2"/>
    </row>
    <row r="232" ht="57.6" spans="1:15">
      <c r="A232" s="2" t="s">
        <v>2637</v>
      </c>
      <c r="B232" s="2" t="s">
        <v>2195</v>
      </c>
      <c r="C232" s="2" t="s">
        <v>2631</v>
      </c>
      <c r="D232" s="2" t="s">
        <v>2638</v>
      </c>
      <c r="E232" s="2" t="s">
        <v>2639</v>
      </c>
      <c r="F232" s="2" t="s">
        <v>2640</v>
      </c>
      <c r="G232" s="2" t="s">
        <v>2641</v>
      </c>
      <c r="H232" s="2"/>
      <c r="I232" s="2" t="s">
        <v>2642</v>
      </c>
      <c r="J232" s="2"/>
      <c r="K232" s="2" t="s">
        <v>2642</v>
      </c>
      <c r="L232" s="2" t="s">
        <v>22</v>
      </c>
      <c r="M232" s="2" t="s">
        <v>2202</v>
      </c>
      <c r="N232" s="2" t="s">
        <v>13</v>
      </c>
      <c r="O232" s="2"/>
    </row>
    <row r="233" ht="43.2" spans="1:15">
      <c r="A233" s="2" t="s">
        <v>2643</v>
      </c>
      <c r="B233" s="2" t="s">
        <v>2195</v>
      </c>
      <c r="C233" s="2" t="s">
        <v>2631</v>
      </c>
      <c r="D233" s="2" t="s">
        <v>2644</v>
      </c>
      <c r="E233" s="2" t="s">
        <v>2645</v>
      </c>
      <c r="F233" s="2" t="s">
        <v>2646</v>
      </c>
      <c r="G233" s="2" t="s">
        <v>2647</v>
      </c>
      <c r="H233" s="2"/>
      <c r="I233" s="2" t="s">
        <v>2648</v>
      </c>
      <c r="J233" s="2"/>
      <c r="K233" s="2" t="s">
        <v>2648</v>
      </c>
      <c r="L233" s="2" t="s">
        <v>22</v>
      </c>
      <c r="M233" s="2" t="s">
        <v>2202</v>
      </c>
      <c r="N233" s="2" t="s">
        <v>13</v>
      </c>
      <c r="O233" s="2"/>
    </row>
    <row r="234" ht="57.6" spans="1:15">
      <c r="A234" s="2" t="s">
        <v>2649</v>
      </c>
      <c r="B234" s="2" t="s">
        <v>2195</v>
      </c>
      <c r="C234" s="2" t="s">
        <v>2631</v>
      </c>
      <c r="D234" s="2" t="s">
        <v>2650</v>
      </c>
      <c r="E234" s="2" t="s">
        <v>2651</v>
      </c>
      <c r="F234" s="2" t="s">
        <v>2652</v>
      </c>
      <c r="G234" s="2" t="s">
        <v>2653</v>
      </c>
      <c r="H234" s="2"/>
      <c r="I234" s="2" t="s">
        <v>2654</v>
      </c>
      <c r="J234" s="2"/>
      <c r="K234" s="2" t="s">
        <v>2654</v>
      </c>
      <c r="L234" s="2" t="s">
        <v>22</v>
      </c>
      <c r="M234" s="2" t="s">
        <v>2202</v>
      </c>
      <c r="N234" s="2" t="s">
        <v>13</v>
      </c>
      <c r="O234" s="2"/>
    </row>
    <row r="235" ht="57.6" spans="1:15">
      <c r="A235" s="2" t="s">
        <v>2655</v>
      </c>
      <c r="B235" s="2" t="s">
        <v>2195</v>
      </c>
      <c r="C235" s="2" t="s">
        <v>2656</v>
      </c>
      <c r="D235" s="2" t="s">
        <v>2657</v>
      </c>
      <c r="E235" s="2" t="s">
        <v>2658</v>
      </c>
      <c r="F235" s="2" t="s">
        <v>2659</v>
      </c>
      <c r="G235" s="2" t="s">
        <v>2660</v>
      </c>
      <c r="H235" s="2"/>
      <c r="I235" s="2" t="s">
        <v>2661</v>
      </c>
      <c r="J235" s="2"/>
      <c r="K235" s="2" t="s">
        <v>2661</v>
      </c>
      <c r="L235" s="2" t="s">
        <v>22</v>
      </c>
      <c r="M235" s="2" t="s">
        <v>2202</v>
      </c>
      <c r="N235" s="2" t="s">
        <v>13</v>
      </c>
      <c r="O235" s="2"/>
    </row>
    <row r="236" ht="86.4" spans="1:15">
      <c r="A236" s="2" t="s">
        <v>2662</v>
      </c>
      <c r="B236" s="2" t="s">
        <v>2195</v>
      </c>
      <c r="C236" s="2" t="s">
        <v>2656</v>
      </c>
      <c r="D236" s="2" t="s">
        <v>2663</v>
      </c>
      <c r="E236" s="2" t="s">
        <v>2664</v>
      </c>
      <c r="F236" s="2" t="s">
        <v>2665</v>
      </c>
      <c r="G236" s="2" t="s">
        <v>2666</v>
      </c>
      <c r="H236" s="2"/>
      <c r="I236" s="2" t="s">
        <v>2667</v>
      </c>
      <c r="J236" s="2"/>
      <c r="K236" s="2" t="s">
        <v>2667</v>
      </c>
      <c r="L236" s="2" t="s">
        <v>22</v>
      </c>
      <c r="M236" s="2" t="s">
        <v>2202</v>
      </c>
      <c r="N236" s="2" t="s">
        <v>13</v>
      </c>
      <c r="O236" s="2"/>
    </row>
    <row r="237" ht="57.6" spans="1:15">
      <c r="A237" s="2" t="s">
        <v>2668</v>
      </c>
      <c r="B237" s="2" t="s">
        <v>2195</v>
      </c>
      <c r="C237" s="2" t="s">
        <v>2669</v>
      </c>
      <c r="D237" s="2" t="s">
        <v>2670</v>
      </c>
      <c r="E237" s="2" t="s">
        <v>2671</v>
      </c>
      <c r="F237" s="2" t="s">
        <v>2672</v>
      </c>
      <c r="G237" s="2" t="s">
        <v>2673</v>
      </c>
      <c r="H237" s="2"/>
      <c r="I237" s="2" t="s">
        <v>2674</v>
      </c>
      <c r="J237" s="2"/>
      <c r="K237" s="2" t="s">
        <v>2674</v>
      </c>
      <c r="L237" s="2" t="s">
        <v>22</v>
      </c>
      <c r="M237" s="2" t="s">
        <v>2202</v>
      </c>
      <c r="N237" s="2" t="s">
        <v>13</v>
      </c>
      <c r="O237" s="2"/>
    </row>
    <row r="238" ht="57.6" spans="1:15">
      <c r="A238" s="2" t="s">
        <v>2675</v>
      </c>
      <c r="B238" s="2" t="s">
        <v>2195</v>
      </c>
      <c r="C238" s="2" t="s">
        <v>2669</v>
      </c>
      <c r="D238" s="2" t="s">
        <v>2676</v>
      </c>
      <c r="E238" s="2" t="s">
        <v>2677</v>
      </c>
      <c r="F238" s="2" t="s">
        <v>2678</v>
      </c>
      <c r="G238" s="2" t="s">
        <v>2673</v>
      </c>
      <c r="H238" s="2"/>
      <c r="I238" s="2" t="s">
        <v>2674</v>
      </c>
      <c r="J238" s="2"/>
      <c r="K238" s="2" t="s">
        <v>2674</v>
      </c>
      <c r="L238" s="2" t="s">
        <v>22</v>
      </c>
      <c r="M238" s="2" t="s">
        <v>2202</v>
      </c>
      <c r="N238" s="2" t="s">
        <v>13</v>
      </c>
      <c r="O238" s="2"/>
    </row>
    <row r="239" ht="57.6" spans="1:15">
      <c r="A239" s="2" t="s">
        <v>2679</v>
      </c>
      <c r="B239" s="2" t="s">
        <v>2195</v>
      </c>
      <c r="C239" s="2" t="s">
        <v>2680</v>
      </c>
      <c r="D239" s="2" t="s">
        <v>2681</v>
      </c>
      <c r="E239" s="2" t="s">
        <v>2682</v>
      </c>
      <c r="F239" s="2" t="s">
        <v>2683</v>
      </c>
      <c r="G239" s="2" t="s">
        <v>2684</v>
      </c>
      <c r="H239" s="2"/>
      <c r="I239" s="2" t="s">
        <v>2685</v>
      </c>
      <c r="J239" s="2"/>
      <c r="K239" s="2" t="s">
        <v>2685</v>
      </c>
      <c r="L239" s="2" t="s">
        <v>22</v>
      </c>
      <c r="M239" s="2" t="s">
        <v>2202</v>
      </c>
      <c r="N239" s="2" t="s">
        <v>13</v>
      </c>
      <c r="O239" s="2"/>
    </row>
    <row r="240" ht="57.6" spans="1:15">
      <c r="A240" s="2" t="s">
        <v>2686</v>
      </c>
      <c r="B240" s="2" t="s">
        <v>2195</v>
      </c>
      <c r="C240" s="2" t="s">
        <v>2687</v>
      </c>
      <c r="D240" s="2" t="s">
        <v>2688</v>
      </c>
      <c r="E240" s="2" t="s">
        <v>2689</v>
      </c>
      <c r="F240" s="2" t="s">
        <v>2690</v>
      </c>
      <c r="G240" s="2" t="s">
        <v>2691</v>
      </c>
      <c r="H240" s="2"/>
      <c r="I240" s="2" t="s">
        <v>2692</v>
      </c>
      <c r="J240" s="2"/>
      <c r="K240" s="2" t="s">
        <v>2692</v>
      </c>
      <c r="L240" s="2" t="s">
        <v>22</v>
      </c>
      <c r="M240" s="2" t="s">
        <v>2202</v>
      </c>
      <c r="N240" s="2" t="s">
        <v>13</v>
      </c>
      <c r="O240" s="2"/>
    </row>
    <row r="241" ht="57.6" spans="1:15">
      <c r="A241" s="2" t="s">
        <v>2693</v>
      </c>
      <c r="B241" s="2" t="s">
        <v>2195</v>
      </c>
      <c r="C241" s="2" t="s">
        <v>2687</v>
      </c>
      <c r="D241" s="2" t="s">
        <v>2694</v>
      </c>
      <c r="E241" s="2" t="s">
        <v>2695</v>
      </c>
      <c r="F241" s="2" t="s">
        <v>2696</v>
      </c>
      <c r="G241" s="2" t="s">
        <v>2697</v>
      </c>
      <c r="H241" s="2"/>
      <c r="I241" s="2" t="s">
        <v>2698</v>
      </c>
      <c r="J241" s="2"/>
      <c r="K241" s="2" t="s">
        <v>2698</v>
      </c>
      <c r="L241" s="2" t="s">
        <v>22</v>
      </c>
      <c r="M241" s="2" t="s">
        <v>2202</v>
      </c>
      <c r="N241" s="2" t="s">
        <v>13</v>
      </c>
      <c r="O241" s="2"/>
    </row>
    <row r="242" ht="57.6" spans="1:15">
      <c r="A242" s="2" t="s">
        <v>2699</v>
      </c>
      <c r="B242" s="2" t="s">
        <v>2195</v>
      </c>
      <c r="C242" s="2" t="s">
        <v>2687</v>
      </c>
      <c r="D242" s="2" t="s">
        <v>2700</v>
      </c>
      <c r="E242" s="2" t="s">
        <v>2701</v>
      </c>
      <c r="F242" s="2" t="s">
        <v>2702</v>
      </c>
      <c r="G242" s="2" t="s">
        <v>2703</v>
      </c>
      <c r="H242" s="2"/>
      <c r="I242" s="2" t="s">
        <v>2704</v>
      </c>
      <c r="J242" s="2"/>
      <c r="K242" s="2" t="s">
        <v>2704</v>
      </c>
      <c r="L242" s="2" t="s">
        <v>22</v>
      </c>
      <c r="M242" s="2" t="s">
        <v>2202</v>
      </c>
      <c r="N242" s="2" t="s">
        <v>13</v>
      </c>
      <c r="O242" s="2"/>
    </row>
    <row r="243" ht="72" spans="1:15">
      <c r="A243" s="2" t="s">
        <v>2705</v>
      </c>
      <c r="B243" s="2" t="s">
        <v>2195</v>
      </c>
      <c r="C243" s="2" t="s">
        <v>2687</v>
      </c>
      <c r="D243" s="2" t="s">
        <v>2706</v>
      </c>
      <c r="E243" s="2" t="s">
        <v>2707</v>
      </c>
      <c r="F243" s="2" t="s">
        <v>2708</v>
      </c>
      <c r="G243" s="2" t="s">
        <v>2709</v>
      </c>
      <c r="H243" s="2"/>
      <c r="I243" s="2" t="s">
        <v>2710</v>
      </c>
      <c r="J243" s="2"/>
      <c r="K243" s="2" t="s">
        <v>2710</v>
      </c>
      <c r="L243" s="2" t="s">
        <v>22</v>
      </c>
      <c r="M243" s="2" t="s">
        <v>2202</v>
      </c>
      <c r="N243" s="2" t="s">
        <v>13</v>
      </c>
      <c r="O243" s="2"/>
    </row>
    <row r="244" spans="1:15">
      <c r="A244" s="2" t="s">
        <v>2711</v>
      </c>
      <c r="B244" s="2" t="s">
        <v>2195</v>
      </c>
      <c r="C244" s="2" t="s">
        <v>9</v>
      </c>
      <c r="D244" s="2"/>
      <c r="E244" s="2"/>
      <c r="F244" s="2"/>
      <c r="G244" s="2"/>
      <c r="H244" s="2"/>
      <c r="I244" s="2"/>
      <c r="J244" s="2"/>
      <c r="K244" s="2"/>
      <c r="L244" s="2" t="s">
        <v>22</v>
      </c>
      <c r="M244" s="2" t="s">
        <v>2202</v>
      </c>
      <c r="N244" s="2" t="s">
        <v>13</v>
      </c>
      <c r="O244" s="2"/>
    </row>
    <row r="245" ht="72" spans="1:15">
      <c r="A245" s="2" t="s">
        <v>2712</v>
      </c>
      <c r="B245" s="2" t="s">
        <v>178</v>
      </c>
      <c r="C245" s="2" t="s">
        <v>2713</v>
      </c>
      <c r="D245" s="2" t="s">
        <v>2714</v>
      </c>
      <c r="E245" s="2" t="s">
        <v>2714</v>
      </c>
      <c r="F245" s="2" t="s">
        <v>2715</v>
      </c>
      <c r="G245" s="2" t="s">
        <v>2716</v>
      </c>
      <c r="H245" s="2" t="s">
        <v>2717</v>
      </c>
      <c r="I245" s="2" t="s">
        <v>2718</v>
      </c>
      <c r="J245" s="2" t="s">
        <v>9</v>
      </c>
      <c r="K245" s="2" t="s">
        <v>2719</v>
      </c>
      <c r="L245" s="2" t="s">
        <v>22</v>
      </c>
      <c r="M245" s="2" t="s">
        <v>32</v>
      </c>
      <c r="N245" s="2" t="s">
        <v>13</v>
      </c>
      <c r="O245" s="2" t="s">
        <v>833</v>
      </c>
    </row>
    <row r="246" ht="28.8" spans="1:15">
      <c r="A246" s="2" t="s">
        <v>2720</v>
      </c>
      <c r="B246" s="2" t="s">
        <v>178</v>
      </c>
      <c r="C246" s="2" t="s">
        <v>2713</v>
      </c>
      <c r="D246" s="2" t="s">
        <v>2721</v>
      </c>
      <c r="E246" s="2" t="s">
        <v>2721</v>
      </c>
      <c r="F246" s="2" t="s">
        <v>2722</v>
      </c>
      <c r="G246" s="2" t="s">
        <v>2723</v>
      </c>
      <c r="H246" s="2" t="s">
        <v>2724</v>
      </c>
      <c r="I246" s="2" t="s">
        <v>2725</v>
      </c>
      <c r="J246" s="2" t="s">
        <v>9</v>
      </c>
      <c r="K246" s="2" t="s">
        <v>2719</v>
      </c>
      <c r="L246" s="2" t="s">
        <v>22</v>
      </c>
      <c r="M246" s="2" t="s">
        <v>32</v>
      </c>
      <c r="N246" s="2" t="s">
        <v>13</v>
      </c>
      <c r="O246" s="2" t="s">
        <v>833</v>
      </c>
    </row>
    <row r="247" ht="43.2" spans="1:15">
      <c r="A247" s="2" t="s">
        <v>2726</v>
      </c>
      <c r="B247" s="2" t="s">
        <v>178</v>
      </c>
      <c r="C247" s="2" t="s">
        <v>2713</v>
      </c>
      <c r="D247" s="2" t="s">
        <v>2727</v>
      </c>
      <c r="E247" s="2" t="s">
        <v>2727</v>
      </c>
      <c r="F247" s="2" t="s">
        <v>2722</v>
      </c>
      <c r="G247" s="2" t="s">
        <v>2728</v>
      </c>
      <c r="H247" s="2" t="s">
        <v>2729</v>
      </c>
      <c r="I247" s="2" t="s">
        <v>2730</v>
      </c>
      <c r="J247" s="2" t="s">
        <v>9</v>
      </c>
      <c r="K247" s="2" t="s">
        <v>2731</v>
      </c>
      <c r="L247" s="2" t="s">
        <v>23</v>
      </c>
      <c r="M247" s="2" t="s">
        <v>32</v>
      </c>
      <c r="N247" s="2" t="s">
        <v>13</v>
      </c>
      <c r="O247" s="2" t="s">
        <v>1212</v>
      </c>
    </row>
    <row r="248" ht="43.2" spans="1:15">
      <c r="A248" s="2" t="s">
        <v>2732</v>
      </c>
      <c r="B248" s="2" t="s">
        <v>178</v>
      </c>
      <c r="C248" s="2" t="s">
        <v>2713</v>
      </c>
      <c r="D248" s="2" t="s">
        <v>2733</v>
      </c>
      <c r="E248" s="2" t="s">
        <v>2733</v>
      </c>
      <c r="F248" s="2" t="s">
        <v>2722</v>
      </c>
      <c r="G248" s="2" t="s">
        <v>2734</v>
      </c>
      <c r="H248" s="2" t="s">
        <v>2735</v>
      </c>
      <c r="I248" s="2" t="s">
        <v>2736</v>
      </c>
      <c r="J248" s="2" t="s">
        <v>9</v>
      </c>
      <c r="K248" s="2" t="s">
        <v>2719</v>
      </c>
      <c r="L248" s="2" t="s">
        <v>22</v>
      </c>
      <c r="M248" s="2" t="s">
        <v>32</v>
      </c>
      <c r="N248" s="2" t="s">
        <v>13</v>
      </c>
      <c r="O248" s="2" t="s">
        <v>833</v>
      </c>
    </row>
    <row r="249" ht="43.2" spans="1:15">
      <c r="A249" s="2" t="s">
        <v>2737</v>
      </c>
      <c r="B249" s="2" t="s">
        <v>178</v>
      </c>
      <c r="C249" s="2" t="s">
        <v>2713</v>
      </c>
      <c r="D249" s="2" t="s">
        <v>2738</v>
      </c>
      <c r="E249" s="2" t="s">
        <v>2738</v>
      </c>
      <c r="F249" s="2" t="s">
        <v>2739</v>
      </c>
      <c r="G249" s="2" t="s">
        <v>2740</v>
      </c>
      <c r="H249" s="2" t="s">
        <v>2741</v>
      </c>
      <c r="I249" s="2" t="s">
        <v>2742</v>
      </c>
      <c r="J249" s="2" t="s">
        <v>9</v>
      </c>
      <c r="K249" s="2" t="s">
        <v>2731</v>
      </c>
      <c r="L249" s="2" t="s">
        <v>23</v>
      </c>
      <c r="M249" s="2" t="s">
        <v>32</v>
      </c>
      <c r="N249" s="2" t="s">
        <v>13</v>
      </c>
      <c r="O249" s="2" t="s">
        <v>1212</v>
      </c>
    </row>
    <row r="250" ht="43.2" spans="1:15">
      <c r="A250" s="2" t="s">
        <v>2743</v>
      </c>
      <c r="B250" s="2" t="s">
        <v>178</v>
      </c>
      <c r="C250" s="2" t="s">
        <v>2713</v>
      </c>
      <c r="D250" s="2" t="s">
        <v>2744</v>
      </c>
      <c r="E250" s="2" t="s">
        <v>2744</v>
      </c>
      <c r="F250" s="2" t="s">
        <v>2722</v>
      </c>
      <c r="G250" s="2" t="s">
        <v>2745</v>
      </c>
      <c r="H250" s="2" t="s">
        <v>2746</v>
      </c>
      <c r="I250" s="2" t="s">
        <v>2747</v>
      </c>
      <c r="J250" s="2" t="s">
        <v>9</v>
      </c>
      <c r="K250" s="2" t="s">
        <v>2719</v>
      </c>
      <c r="L250" s="2" t="s">
        <v>22</v>
      </c>
      <c r="M250" s="2" t="s">
        <v>32</v>
      </c>
      <c r="N250" s="2" t="s">
        <v>13</v>
      </c>
      <c r="O250" s="2" t="s">
        <v>1212</v>
      </c>
    </row>
    <row r="251" ht="43.2" spans="1:15">
      <c r="A251" s="2" t="s">
        <v>2748</v>
      </c>
      <c r="B251" s="2" t="s">
        <v>178</v>
      </c>
      <c r="C251" s="2" t="s">
        <v>2713</v>
      </c>
      <c r="D251" s="2" t="s">
        <v>2749</v>
      </c>
      <c r="E251" s="2" t="s">
        <v>2749</v>
      </c>
      <c r="F251" s="2" t="s">
        <v>2750</v>
      </c>
      <c r="G251" s="2" t="s">
        <v>2751</v>
      </c>
      <c r="H251" s="2" t="s">
        <v>2752</v>
      </c>
      <c r="I251" s="2" t="s">
        <v>2753</v>
      </c>
      <c r="J251" s="2" t="s">
        <v>9</v>
      </c>
      <c r="K251" s="2" t="s">
        <v>2731</v>
      </c>
      <c r="L251" s="2" t="s">
        <v>23</v>
      </c>
      <c r="M251" s="2" t="s">
        <v>32</v>
      </c>
      <c r="N251" s="2" t="s">
        <v>13</v>
      </c>
      <c r="O251" s="2" t="s">
        <v>2754</v>
      </c>
    </row>
    <row r="252" ht="28.8" spans="1:15">
      <c r="A252" s="2" t="s">
        <v>2755</v>
      </c>
      <c r="B252" s="2" t="s">
        <v>178</v>
      </c>
      <c r="C252" s="2" t="s">
        <v>2713</v>
      </c>
      <c r="D252" s="2" t="s">
        <v>2756</v>
      </c>
      <c r="E252" s="2" t="s">
        <v>2756</v>
      </c>
      <c r="F252" s="2" t="s">
        <v>2757</v>
      </c>
      <c r="G252" s="2" t="s">
        <v>2758</v>
      </c>
      <c r="H252" s="2" t="s">
        <v>2759</v>
      </c>
      <c r="I252" s="2" t="s">
        <v>2760</v>
      </c>
      <c r="J252" s="2" t="s">
        <v>9</v>
      </c>
      <c r="K252" s="2" t="s">
        <v>2719</v>
      </c>
      <c r="L252" s="2" t="s">
        <v>22</v>
      </c>
      <c r="M252" s="2" t="s">
        <v>32</v>
      </c>
      <c r="N252" s="2" t="s">
        <v>13</v>
      </c>
      <c r="O252" s="2" t="s">
        <v>1212</v>
      </c>
    </row>
    <row r="253" ht="43.2" spans="1:15">
      <c r="A253" s="2" t="s">
        <v>2761</v>
      </c>
      <c r="B253" s="2" t="s">
        <v>178</v>
      </c>
      <c r="C253" s="2" t="s">
        <v>2713</v>
      </c>
      <c r="D253" s="2" t="s">
        <v>2762</v>
      </c>
      <c r="E253" s="2" t="s">
        <v>2762</v>
      </c>
      <c r="F253" s="2" t="s">
        <v>2722</v>
      </c>
      <c r="G253" s="2" t="s">
        <v>2763</v>
      </c>
      <c r="H253" s="2" t="s">
        <v>2764</v>
      </c>
      <c r="I253" s="2" t="s">
        <v>2765</v>
      </c>
      <c r="J253" s="2" t="s">
        <v>9</v>
      </c>
      <c r="K253" s="2" t="s">
        <v>2719</v>
      </c>
      <c r="L253" s="2" t="s">
        <v>22</v>
      </c>
      <c r="M253" s="2" t="s">
        <v>32</v>
      </c>
      <c r="N253" s="2" t="s">
        <v>13</v>
      </c>
      <c r="O253" s="2" t="s">
        <v>2754</v>
      </c>
    </row>
    <row r="254" ht="86.4" spans="1:15">
      <c r="A254" s="2" t="s">
        <v>2766</v>
      </c>
      <c r="B254" s="2" t="s">
        <v>178</v>
      </c>
      <c r="C254" s="2" t="s">
        <v>2713</v>
      </c>
      <c r="D254" s="2" t="s">
        <v>2767</v>
      </c>
      <c r="E254" s="2" t="s">
        <v>2767</v>
      </c>
      <c r="F254" s="2" t="s">
        <v>2768</v>
      </c>
      <c r="G254" s="2" t="s">
        <v>2769</v>
      </c>
      <c r="H254" s="2" t="s">
        <v>2770</v>
      </c>
      <c r="I254" s="2" t="s">
        <v>2771</v>
      </c>
      <c r="J254" s="2" t="s">
        <v>9</v>
      </c>
      <c r="K254" s="2" t="s">
        <v>2719</v>
      </c>
      <c r="L254" s="2" t="s">
        <v>22</v>
      </c>
      <c r="M254" s="2" t="s">
        <v>32</v>
      </c>
      <c r="N254" s="2" t="s">
        <v>13</v>
      </c>
      <c r="O254" s="2" t="s">
        <v>833</v>
      </c>
    </row>
    <row r="255" ht="43.2" spans="1:15">
      <c r="A255" s="2" t="s">
        <v>2772</v>
      </c>
      <c r="B255" s="2" t="s">
        <v>178</v>
      </c>
      <c r="C255" s="2" t="s">
        <v>2713</v>
      </c>
      <c r="D255" s="2" t="s">
        <v>2773</v>
      </c>
      <c r="E255" s="2" t="s">
        <v>2773</v>
      </c>
      <c r="F255" s="2" t="s">
        <v>2774</v>
      </c>
      <c r="G255" s="2" t="s">
        <v>2775</v>
      </c>
      <c r="H255" s="2" t="s">
        <v>2776</v>
      </c>
      <c r="I255" s="2" t="s">
        <v>2777</v>
      </c>
      <c r="J255" s="2" t="s">
        <v>9</v>
      </c>
      <c r="K255" s="2" t="s">
        <v>2719</v>
      </c>
      <c r="L255" s="2" t="s">
        <v>22</v>
      </c>
      <c r="M255" s="2" t="s">
        <v>32</v>
      </c>
      <c r="N255" s="2" t="s">
        <v>13</v>
      </c>
      <c r="O255" s="2" t="s">
        <v>1212</v>
      </c>
    </row>
    <row r="256" ht="43.2" spans="1:15">
      <c r="A256" s="2" t="s">
        <v>2778</v>
      </c>
      <c r="B256" s="2" t="s">
        <v>178</v>
      </c>
      <c r="C256" s="2" t="s">
        <v>2713</v>
      </c>
      <c r="D256" s="2" t="s">
        <v>2779</v>
      </c>
      <c r="E256" s="2" t="s">
        <v>2779</v>
      </c>
      <c r="F256" s="2" t="s">
        <v>2780</v>
      </c>
      <c r="G256" s="2" t="s">
        <v>2781</v>
      </c>
      <c r="H256" s="2" t="s">
        <v>2782</v>
      </c>
      <c r="I256" s="2" t="s">
        <v>2783</v>
      </c>
      <c r="J256" s="2" t="s">
        <v>9</v>
      </c>
      <c r="K256" s="2" t="s">
        <v>2731</v>
      </c>
      <c r="L256" s="2" t="s">
        <v>23</v>
      </c>
      <c r="M256" s="2" t="s">
        <v>32</v>
      </c>
      <c r="N256" s="2" t="s">
        <v>13</v>
      </c>
      <c r="O256" s="2" t="s">
        <v>1212</v>
      </c>
    </row>
    <row r="257" ht="43.2" spans="1:15">
      <c r="A257" s="2" t="s">
        <v>2784</v>
      </c>
      <c r="B257" s="2" t="s">
        <v>178</v>
      </c>
      <c r="C257" s="2" t="s">
        <v>2713</v>
      </c>
      <c r="D257" s="2" t="s">
        <v>2785</v>
      </c>
      <c r="E257" s="2" t="s">
        <v>2785</v>
      </c>
      <c r="F257" s="2" t="s">
        <v>2786</v>
      </c>
      <c r="G257" s="2" t="s">
        <v>2787</v>
      </c>
      <c r="H257" s="2" t="s">
        <v>2788</v>
      </c>
      <c r="I257" s="2" t="s">
        <v>2789</v>
      </c>
      <c r="J257" s="2" t="s">
        <v>9</v>
      </c>
      <c r="K257" s="2" t="s">
        <v>2719</v>
      </c>
      <c r="L257" s="2" t="s">
        <v>22</v>
      </c>
      <c r="M257" s="2" t="s">
        <v>32</v>
      </c>
      <c r="N257" s="2" t="s">
        <v>13</v>
      </c>
      <c r="O257" s="2" t="s">
        <v>1212</v>
      </c>
    </row>
    <row r="258" ht="43.2" spans="1:15">
      <c r="A258" s="2" t="s">
        <v>2790</v>
      </c>
      <c r="B258" s="2" t="s">
        <v>178</v>
      </c>
      <c r="C258" s="2" t="s">
        <v>2713</v>
      </c>
      <c r="D258" s="2" t="s">
        <v>2791</v>
      </c>
      <c r="E258" s="2" t="s">
        <v>2791</v>
      </c>
      <c r="F258" s="2" t="s">
        <v>2792</v>
      </c>
      <c r="G258" s="2" t="s">
        <v>2793</v>
      </c>
      <c r="H258" s="2" t="s">
        <v>2794</v>
      </c>
      <c r="I258" s="2" t="s">
        <v>2795</v>
      </c>
      <c r="J258" s="2" t="s">
        <v>9</v>
      </c>
      <c r="K258" s="2" t="s">
        <v>2719</v>
      </c>
      <c r="L258" s="2" t="s">
        <v>22</v>
      </c>
      <c r="M258" s="2" t="s">
        <v>32</v>
      </c>
      <c r="N258" s="2" t="s">
        <v>13</v>
      </c>
      <c r="O258" s="2" t="s">
        <v>833</v>
      </c>
    </row>
    <row r="259" ht="43.2" spans="1:15">
      <c r="A259" s="2" t="s">
        <v>2796</v>
      </c>
      <c r="B259" s="2" t="s">
        <v>178</v>
      </c>
      <c r="C259" s="2" t="s">
        <v>2713</v>
      </c>
      <c r="D259" s="2" t="s">
        <v>2797</v>
      </c>
      <c r="E259" s="2" t="s">
        <v>2797</v>
      </c>
      <c r="F259" s="2" t="s">
        <v>2798</v>
      </c>
      <c r="G259" s="2" t="s">
        <v>2799</v>
      </c>
      <c r="H259" s="2" t="s">
        <v>2800</v>
      </c>
      <c r="I259" s="2" t="s">
        <v>2801</v>
      </c>
      <c r="J259" s="2" t="s">
        <v>9</v>
      </c>
      <c r="K259" s="2" t="s">
        <v>2719</v>
      </c>
      <c r="L259" s="2" t="s">
        <v>22</v>
      </c>
      <c r="M259" s="2" t="s">
        <v>32</v>
      </c>
      <c r="N259" s="2" t="s">
        <v>13</v>
      </c>
      <c r="O259" s="2" t="s">
        <v>1212</v>
      </c>
    </row>
    <row r="260" ht="43.2" spans="1:15">
      <c r="A260" s="2" t="s">
        <v>2802</v>
      </c>
      <c r="B260" s="2" t="s">
        <v>178</v>
      </c>
      <c r="C260" s="2" t="s">
        <v>2713</v>
      </c>
      <c r="D260" s="2" t="s">
        <v>2803</v>
      </c>
      <c r="E260" s="2" t="s">
        <v>2803</v>
      </c>
      <c r="F260" s="2" t="s">
        <v>2804</v>
      </c>
      <c r="G260" s="2" t="s">
        <v>2805</v>
      </c>
      <c r="H260" s="2" t="s">
        <v>830</v>
      </c>
      <c r="I260" s="2" t="s">
        <v>2806</v>
      </c>
      <c r="J260" s="2" t="s">
        <v>9</v>
      </c>
      <c r="K260" s="2" t="s">
        <v>2719</v>
      </c>
      <c r="L260" s="2" t="s">
        <v>22</v>
      </c>
      <c r="M260" s="2" t="s">
        <v>32</v>
      </c>
      <c r="N260" s="2" t="s">
        <v>13</v>
      </c>
      <c r="O260" s="2" t="s">
        <v>833</v>
      </c>
    </row>
    <row r="261" ht="43.2" spans="1:15">
      <c r="A261" s="2" t="s">
        <v>2807</v>
      </c>
      <c r="B261" s="2" t="s">
        <v>178</v>
      </c>
      <c r="C261" s="2" t="s">
        <v>2713</v>
      </c>
      <c r="D261" s="2" t="s">
        <v>2808</v>
      </c>
      <c r="E261" s="2" t="s">
        <v>2808</v>
      </c>
      <c r="F261" s="2" t="s">
        <v>2809</v>
      </c>
      <c r="G261" s="2" t="s">
        <v>2810</v>
      </c>
      <c r="H261" s="2" t="s">
        <v>830</v>
      </c>
      <c r="I261" s="2" t="s">
        <v>2811</v>
      </c>
      <c r="J261" s="2" t="s">
        <v>9</v>
      </c>
      <c r="K261" s="2" t="s">
        <v>2719</v>
      </c>
      <c r="L261" s="2" t="s">
        <v>22</v>
      </c>
      <c r="M261" s="2" t="s">
        <v>32</v>
      </c>
      <c r="N261" s="2" t="s">
        <v>13</v>
      </c>
      <c r="O261" s="2" t="s">
        <v>1212</v>
      </c>
    </row>
    <row r="262" ht="28.8" spans="1:15">
      <c r="A262" s="2" t="s">
        <v>2812</v>
      </c>
      <c r="B262" s="2" t="s">
        <v>178</v>
      </c>
      <c r="C262" s="2" t="s">
        <v>2713</v>
      </c>
      <c r="D262" s="2" t="s">
        <v>2813</v>
      </c>
      <c r="E262" s="2" t="s">
        <v>2813</v>
      </c>
      <c r="F262" s="2" t="s">
        <v>2814</v>
      </c>
      <c r="G262" s="2" t="s">
        <v>2815</v>
      </c>
      <c r="H262" s="2" t="s">
        <v>830</v>
      </c>
      <c r="I262" s="2" t="s">
        <v>2816</v>
      </c>
      <c r="J262" s="2" t="s">
        <v>9</v>
      </c>
      <c r="K262" s="2" t="s">
        <v>25</v>
      </c>
      <c r="L262" s="2" t="s">
        <v>948</v>
      </c>
      <c r="M262" s="2" t="s">
        <v>32</v>
      </c>
      <c r="N262" s="2" t="s">
        <v>13</v>
      </c>
      <c r="O262" s="2" t="s">
        <v>833</v>
      </c>
    </row>
    <row r="263" ht="43.2" spans="1:15">
      <c r="A263" s="2" t="s">
        <v>2817</v>
      </c>
      <c r="B263" s="2" t="s">
        <v>178</v>
      </c>
      <c r="C263" s="2" t="s">
        <v>2713</v>
      </c>
      <c r="D263" s="2" t="s">
        <v>2818</v>
      </c>
      <c r="E263" s="2" t="s">
        <v>2818</v>
      </c>
      <c r="F263" s="2" t="s">
        <v>2819</v>
      </c>
      <c r="G263" s="2" t="s">
        <v>2820</v>
      </c>
      <c r="H263" s="2" t="s">
        <v>830</v>
      </c>
      <c r="I263" s="2" t="s">
        <v>2821</v>
      </c>
      <c r="J263" s="2" t="s">
        <v>9</v>
      </c>
      <c r="K263" s="2" t="s">
        <v>2731</v>
      </c>
      <c r="L263" s="2" t="s">
        <v>23</v>
      </c>
      <c r="M263" s="2" t="s">
        <v>32</v>
      </c>
      <c r="N263" s="2" t="s">
        <v>13</v>
      </c>
      <c r="O263" s="2" t="s">
        <v>2754</v>
      </c>
    </row>
    <row r="264" ht="57.6" spans="1:15">
      <c r="A264" s="2" t="s">
        <v>2822</v>
      </c>
      <c r="B264" s="2" t="s">
        <v>178</v>
      </c>
      <c r="C264" s="2" t="s">
        <v>2713</v>
      </c>
      <c r="D264" s="2" t="s">
        <v>2823</v>
      </c>
      <c r="E264" s="2" t="s">
        <v>2823</v>
      </c>
      <c r="F264" s="2" t="s">
        <v>2824</v>
      </c>
      <c r="G264" s="2" t="s">
        <v>2825</v>
      </c>
      <c r="H264" s="2" t="s">
        <v>2826</v>
      </c>
      <c r="I264" s="2" t="s">
        <v>2827</v>
      </c>
      <c r="J264" s="2" t="s">
        <v>9</v>
      </c>
      <c r="K264" s="2" t="s">
        <v>2731</v>
      </c>
      <c r="L264" s="2" t="s">
        <v>23</v>
      </c>
      <c r="M264" s="2" t="s">
        <v>32</v>
      </c>
      <c r="N264" s="2" t="s">
        <v>13</v>
      </c>
      <c r="O264" s="2" t="s">
        <v>1212</v>
      </c>
    </row>
    <row r="265" ht="57.6" spans="1:15">
      <c r="A265" s="2" t="s">
        <v>2828</v>
      </c>
      <c r="B265" s="2" t="s">
        <v>178</v>
      </c>
      <c r="C265" s="2" t="s">
        <v>2713</v>
      </c>
      <c r="D265" s="2" t="s">
        <v>2829</v>
      </c>
      <c r="E265" s="2" t="s">
        <v>2829</v>
      </c>
      <c r="F265" s="2" t="s">
        <v>2830</v>
      </c>
      <c r="G265" s="2" t="s">
        <v>2831</v>
      </c>
      <c r="H265" s="2" t="s">
        <v>2832</v>
      </c>
      <c r="I265" s="2" t="s">
        <v>2833</v>
      </c>
      <c r="J265" s="2" t="s">
        <v>9</v>
      </c>
      <c r="K265" s="2" t="s">
        <v>2731</v>
      </c>
      <c r="L265" s="2" t="s">
        <v>23</v>
      </c>
      <c r="M265" s="2" t="s">
        <v>32</v>
      </c>
      <c r="N265" s="2" t="s">
        <v>13</v>
      </c>
      <c r="O265" s="2" t="s">
        <v>1212</v>
      </c>
    </row>
    <row r="266" ht="43.2" spans="1:15">
      <c r="A266" s="2" t="s">
        <v>2834</v>
      </c>
      <c r="B266" s="2" t="s">
        <v>178</v>
      </c>
      <c r="C266" s="2" t="s">
        <v>2713</v>
      </c>
      <c r="D266" s="2" t="s">
        <v>2835</v>
      </c>
      <c r="E266" s="2" t="s">
        <v>2835</v>
      </c>
      <c r="F266" s="2" t="s">
        <v>2836</v>
      </c>
      <c r="G266" s="2" t="s">
        <v>2837</v>
      </c>
      <c r="H266" s="2" t="s">
        <v>2838</v>
      </c>
      <c r="I266" s="2" t="s">
        <v>2839</v>
      </c>
      <c r="J266" s="2" t="s">
        <v>9</v>
      </c>
      <c r="K266" s="2" t="s">
        <v>2731</v>
      </c>
      <c r="L266" s="2" t="s">
        <v>23</v>
      </c>
      <c r="M266" s="2" t="s">
        <v>32</v>
      </c>
      <c r="N266" s="2" t="s">
        <v>13</v>
      </c>
      <c r="O266" s="2" t="s">
        <v>1212</v>
      </c>
    </row>
    <row r="267" ht="57.6" spans="1:15">
      <c r="A267" s="2" t="s">
        <v>2840</v>
      </c>
      <c r="B267" s="2" t="s">
        <v>178</v>
      </c>
      <c r="C267" s="2" t="s">
        <v>2713</v>
      </c>
      <c r="D267" s="2" t="s">
        <v>2841</v>
      </c>
      <c r="E267" s="2" t="s">
        <v>2841</v>
      </c>
      <c r="F267" s="2" t="s">
        <v>2842</v>
      </c>
      <c r="G267" s="2" t="s">
        <v>2843</v>
      </c>
      <c r="H267" s="2" t="s">
        <v>2844</v>
      </c>
      <c r="I267" s="2" t="s">
        <v>2845</v>
      </c>
      <c r="J267" s="2" t="s">
        <v>9</v>
      </c>
      <c r="K267" s="2" t="s">
        <v>2731</v>
      </c>
      <c r="L267" s="2" t="s">
        <v>23</v>
      </c>
      <c r="M267" s="2" t="s">
        <v>32</v>
      </c>
      <c r="N267" s="2" t="s">
        <v>13</v>
      </c>
      <c r="O267" s="2" t="s">
        <v>2754</v>
      </c>
    </row>
    <row r="268" ht="43.2" spans="1:15">
      <c r="A268" s="2" t="s">
        <v>2846</v>
      </c>
      <c r="B268" s="2" t="s">
        <v>178</v>
      </c>
      <c r="C268" s="2" t="s">
        <v>2713</v>
      </c>
      <c r="D268" s="2" t="s">
        <v>2847</v>
      </c>
      <c r="E268" s="2" t="s">
        <v>2847</v>
      </c>
      <c r="F268" s="2" t="s">
        <v>2848</v>
      </c>
      <c r="G268" s="2" t="s">
        <v>2849</v>
      </c>
      <c r="H268" s="2" t="s">
        <v>2850</v>
      </c>
      <c r="I268" s="2" t="s">
        <v>2851</v>
      </c>
      <c r="J268" s="2" t="s">
        <v>9</v>
      </c>
      <c r="K268" s="2" t="s">
        <v>2719</v>
      </c>
      <c r="L268" s="2" t="s">
        <v>22</v>
      </c>
      <c r="M268" s="2" t="s">
        <v>32</v>
      </c>
      <c r="N268" s="2" t="s">
        <v>13</v>
      </c>
      <c r="O268" s="2" t="s">
        <v>2754</v>
      </c>
    </row>
    <row r="269" ht="43.2" spans="1:15">
      <c r="A269" s="2" t="s">
        <v>2852</v>
      </c>
      <c r="B269" s="2" t="s">
        <v>178</v>
      </c>
      <c r="C269" s="2" t="s">
        <v>2713</v>
      </c>
      <c r="D269" s="2" t="s">
        <v>2853</v>
      </c>
      <c r="E269" s="2" t="s">
        <v>2853</v>
      </c>
      <c r="F269" s="2" t="s">
        <v>2854</v>
      </c>
      <c r="G269" s="2" t="s">
        <v>2855</v>
      </c>
      <c r="H269" s="2" t="s">
        <v>2856</v>
      </c>
      <c r="I269" s="2" t="s">
        <v>2857</v>
      </c>
      <c r="J269" s="2" t="s">
        <v>9</v>
      </c>
      <c r="K269" s="2" t="s">
        <v>2719</v>
      </c>
      <c r="L269" s="2" t="s">
        <v>22</v>
      </c>
      <c r="M269" s="2" t="s">
        <v>32</v>
      </c>
      <c r="N269" s="2" t="s">
        <v>13</v>
      </c>
      <c r="O269" s="2" t="s">
        <v>833</v>
      </c>
    </row>
    <row r="270" ht="43.2" spans="1:15">
      <c r="A270" s="2" t="s">
        <v>2858</v>
      </c>
      <c r="B270" s="2" t="s">
        <v>178</v>
      </c>
      <c r="C270" s="2" t="s">
        <v>2713</v>
      </c>
      <c r="D270" s="2" t="s">
        <v>2859</v>
      </c>
      <c r="E270" s="2" t="s">
        <v>2859</v>
      </c>
      <c r="F270" s="2" t="s">
        <v>2860</v>
      </c>
      <c r="G270" s="2" t="s">
        <v>2861</v>
      </c>
      <c r="H270" s="2" t="s">
        <v>2862</v>
      </c>
      <c r="I270" s="2" t="s">
        <v>2863</v>
      </c>
      <c r="J270" s="2" t="s">
        <v>9</v>
      </c>
      <c r="K270" s="2" t="s">
        <v>2719</v>
      </c>
      <c r="L270" s="2" t="s">
        <v>22</v>
      </c>
      <c r="M270" s="2" t="s">
        <v>32</v>
      </c>
      <c r="N270" s="2" t="s">
        <v>13</v>
      </c>
      <c r="O270" s="2" t="s">
        <v>833</v>
      </c>
    </row>
    <row r="271" ht="43.2" spans="1:15">
      <c r="A271" s="2" t="s">
        <v>2864</v>
      </c>
      <c r="B271" s="2" t="s">
        <v>178</v>
      </c>
      <c r="C271" s="2" t="s">
        <v>2713</v>
      </c>
      <c r="D271" s="2" t="s">
        <v>2865</v>
      </c>
      <c r="E271" s="2" t="s">
        <v>2865</v>
      </c>
      <c r="F271" s="2" t="s">
        <v>2866</v>
      </c>
      <c r="G271" s="2" t="s">
        <v>2867</v>
      </c>
      <c r="H271" s="2" t="s">
        <v>2868</v>
      </c>
      <c r="I271" s="2" t="s">
        <v>2869</v>
      </c>
      <c r="J271" s="2" t="s">
        <v>9</v>
      </c>
      <c r="K271" s="2" t="s">
        <v>2719</v>
      </c>
      <c r="L271" s="2" t="s">
        <v>22</v>
      </c>
      <c r="M271" s="2" t="s">
        <v>32</v>
      </c>
      <c r="N271" s="2" t="s">
        <v>13</v>
      </c>
      <c r="O271" s="2" t="s">
        <v>1212</v>
      </c>
    </row>
    <row r="272" ht="28.8" spans="1:15">
      <c r="A272" s="2" t="s">
        <v>2870</v>
      </c>
      <c r="B272" s="2" t="s">
        <v>178</v>
      </c>
      <c r="C272" s="2" t="s">
        <v>2713</v>
      </c>
      <c r="D272" s="2" t="s">
        <v>2871</v>
      </c>
      <c r="E272" s="2" t="s">
        <v>2871</v>
      </c>
      <c r="F272" s="2" t="s">
        <v>2872</v>
      </c>
      <c r="G272" s="2" t="s">
        <v>2873</v>
      </c>
      <c r="H272" s="2" t="s">
        <v>830</v>
      </c>
      <c r="I272" s="2" t="s">
        <v>2874</v>
      </c>
      <c r="J272" s="2" t="s">
        <v>9</v>
      </c>
      <c r="K272" s="2" t="s">
        <v>2731</v>
      </c>
      <c r="L272" s="2" t="s">
        <v>23</v>
      </c>
      <c r="M272" s="2" t="s">
        <v>32</v>
      </c>
      <c r="N272" s="2" t="s">
        <v>13</v>
      </c>
      <c r="O272" s="2" t="s">
        <v>833</v>
      </c>
    </row>
    <row r="273" ht="43.2" spans="1:15">
      <c r="A273" s="2" t="s">
        <v>2875</v>
      </c>
      <c r="B273" s="2" t="s">
        <v>178</v>
      </c>
      <c r="C273" s="2" t="s">
        <v>2713</v>
      </c>
      <c r="D273" s="2" t="s">
        <v>2876</v>
      </c>
      <c r="E273" s="2" t="s">
        <v>2876</v>
      </c>
      <c r="F273" s="2" t="s">
        <v>2877</v>
      </c>
      <c r="G273" s="2" t="s">
        <v>2878</v>
      </c>
      <c r="H273" s="2" t="s">
        <v>830</v>
      </c>
      <c r="I273" s="2" t="s">
        <v>2879</v>
      </c>
      <c r="J273" s="2" t="s">
        <v>9</v>
      </c>
      <c r="K273" s="2" t="s">
        <v>2719</v>
      </c>
      <c r="L273" s="2" t="s">
        <v>22</v>
      </c>
      <c r="M273" s="2" t="s">
        <v>32</v>
      </c>
      <c r="N273" s="2" t="s">
        <v>13</v>
      </c>
      <c r="O273" s="2" t="s">
        <v>1212</v>
      </c>
    </row>
    <row r="274" ht="43.2" spans="1:15">
      <c r="A274" s="2" t="s">
        <v>2880</v>
      </c>
      <c r="B274" s="2" t="s">
        <v>178</v>
      </c>
      <c r="C274" s="2" t="s">
        <v>2713</v>
      </c>
      <c r="D274" s="2" t="s">
        <v>2881</v>
      </c>
      <c r="E274" s="2" t="s">
        <v>2881</v>
      </c>
      <c r="F274" s="2" t="s">
        <v>2882</v>
      </c>
      <c r="G274" s="2" t="s">
        <v>2883</v>
      </c>
      <c r="H274" s="2" t="s">
        <v>830</v>
      </c>
      <c r="I274" s="2" t="s">
        <v>2884</v>
      </c>
      <c r="J274" s="2" t="s">
        <v>9</v>
      </c>
      <c r="K274" s="2" t="s">
        <v>2731</v>
      </c>
      <c r="L274" s="2" t="s">
        <v>23</v>
      </c>
      <c r="M274" s="2" t="s">
        <v>32</v>
      </c>
      <c r="N274" s="2" t="s">
        <v>13</v>
      </c>
      <c r="O274" s="2" t="s">
        <v>833</v>
      </c>
    </row>
    <row r="275" ht="57.6" spans="1:15">
      <c r="A275" s="2" t="s">
        <v>2885</v>
      </c>
      <c r="B275" s="2" t="s">
        <v>178</v>
      </c>
      <c r="C275" s="2" t="s">
        <v>2713</v>
      </c>
      <c r="D275" s="2" t="s">
        <v>2886</v>
      </c>
      <c r="E275" s="2" t="s">
        <v>2886</v>
      </c>
      <c r="F275" s="2" t="s">
        <v>2887</v>
      </c>
      <c r="G275" s="2" t="s">
        <v>2888</v>
      </c>
      <c r="H275" s="2" t="s">
        <v>830</v>
      </c>
      <c r="I275" s="2" t="s">
        <v>2889</v>
      </c>
      <c r="J275" s="2" t="s">
        <v>9</v>
      </c>
      <c r="K275" s="2" t="s">
        <v>2719</v>
      </c>
      <c r="L275" s="2" t="s">
        <v>22</v>
      </c>
      <c r="M275" s="2" t="s">
        <v>32</v>
      </c>
      <c r="N275" s="2" t="s">
        <v>13</v>
      </c>
      <c r="O275" s="2" t="s">
        <v>1212</v>
      </c>
    </row>
    <row r="276" ht="43.2" spans="1:15">
      <c r="A276" s="2" t="s">
        <v>2890</v>
      </c>
      <c r="B276" s="2" t="s">
        <v>178</v>
      </c>
      <c r="C276" s="2" t="s">
        <v>2713</v>
      </c>
      <c r="D276" s="2" t="s">
        <v>2891</v>
      </c>
      <c r="E276" s="2" t="s">
        <v>2891</v>
      </c>
      <c r="F276" s="2" t="s">
        <v>2892</v>
      </c>
      <c r="G276" s="2" t="s">
        <v>2893</v>
      </c>
      <c r="H276" s="2" t="s">
        <v>2894</v>
      </c>
      <c r="I276" s="2" t="s">
        <v>2895</v>
      </c>
      <c r="J276" s="2" t="s">
        <v>9</v>
      </c>
      <c r="K276" s="2" t="s">
        <v>2719</v>
      </c>
      <c r="L276" s="2" t="s">
        <v>22</v>
      </c>
      <c r="M276" s="2" t="s">
        <v>32</v>
      </c>
      <c r="N276" s="2" t="s">
        <v>13</v>
      </c>
      <c r="O276" s="2" t="s">
        <v>833</v>
      </c>
    </row>
    <row r="277" ht="43.2" spans="1:15">
      <c r="A277" s="2" t="s">
        <v>2896</v>
      </c>
      <c r="B277" s="2" t="s">
        <v>178</v>
      </c>
      <c r="C277" s="2" t="s">
        <v>2713</v>
      </c>
      <c r="D277" s="2" t="s">
        <v>2897</v>
      </c>
      <c r="E277" s="2" t="s">
        <v>2897</v>
      </c>
      <c r="F277" s="2" t="s">
        <v>2898</v>
      </c>
      <c r="G277" s="2" t="s">
        <v>2899</v>
      </c>
      <c r="H277" s="2" t="s">
        <v>830</v>
      </c>
      <c r="I277" s="2" t="s">
        <v>2900</v>
      </c>
      <c r="J277" s="2" t="s">
        <v>9</v>
      </c>
      <c r="K277" s="2" t="s">
        <v>2719</v>
      </c>
      <c r="L277" s="2" t="s">
        <v>22</v>
      </c>
      <c r="M277" s="2" t="s">
        <v>32</v>
      </c>
      <c r="N277" s="2" t="s">
        <v>13</v>
      </c>
      <c r="O277" s="2" t="s">
        <v>1212</v>
      </c>
    </row>
    <row r="278" ht="43.2" spans="1:15">
      <c r="A278" s="2" t="s">
        <v>2901</v>
      </c>
      <c r="B278" s="2" t="s">
        <v>178</v>
      </c>
      <c r="C278" s="2" t="s">
        <v>2713</v>
      </c>
      <c r="D278" s="2" t="s">
        <v>2902</v>
      </c>
      <c r="E278" s="2" t="s">
        <v>2902</v>
      </c>
      <c r="F278" s="2" t="s">
        <v>2903</v>
      </c>
      <c r="G278" s="2" t="s">
        <v>2904</v>
      </c>
      <c r="H278" s="2" t="s">
        <v>830</v>
      </c>
      <c r="I278" s="2" t="s">
        <v>2905</v>
      </c>
      <c r="J278" s="2" t="s">
        <v>9</v>
      </c>
      <c r="K278" s="2" t="s">
        <v>2719</v>
      </c>
      <c r="L278" s="2" t="s">
        <v>22</v>
      </c>
      <c r="M278" s="2" t="s">
        <v>32</v>
      </c>
      <c r="N278" s="2" t="s">
        <v>13</v>
      </c>
      <c r="O278" s="2" t="s">
        <v>1212</v>
      </c>
    </row>
    <row r="279" ht="43.2" spans="1:15">
      <c r="A279" s="2" t="s">
        <v>2906</v>
      </c>
      <c r="B279" s="2" t="s">
        <v>178</v>
      </c>
      <c r="C279" s="2" t="s">
        <v>2713</v>
      </c>
      <c r="D279" s="2" t="s">
        <v>2907</v>
      </c>
      <c r="E279" s="2" t="s">
        <v>2907</v>
      </c>
      <c r="F279" s="2" t="s">
        <v>2908</v>
      </c>
      <c r="G279" s="2" t="s">
        <v>2909</v>
      </c>
      <c r="H279" s="2" t="s">
        <v>2910</v>
      </c>
      <c r="I279" s="2" t="s">
        <v>2911</v>
      </c>
      <c r="J279" s="2" t="s">
        <v>9</v>
      </c>
      <c r="K279" s="2" t="s">
        <v>2719</v>
      </c>
      <c r="L279" s="2" t="s">
        <v>22</v>
      </c>
      <c r="M279" s="2" t="s">
        <v>32</v>
      </c>
      <c r="N279" s="2" t="s">
        <v>13</v>
      </c>
      <c r="O279" s="2" t="s">
        <v>1212</v>
      </c>
    </row>
    <row r="280" ht="57.6" spans="1:15">
      <c r="A280" s="2" t="s">
        <v>2912</v>
      </c>
      <c r="B280" s="2" t="s">
        <v>178</v>
      </c>
      <c r="C280" s="2" t="s">
        <v>2713</v>
      </c>
      <c r="D280" s="2" t="s">
        <v>2913</v>
      </c>
      <c r="E280" s="2" t="s">
        <v>2913</v>
      </c>
      <c r="F280" s="2" t="s">
        <v>2914</v>
      </c>
      <c r="G280" s="2" t="s">
        <v>2915</v>
      </c>
      <c r="H280" s="2" t="s">
        <v>830</v>
      </c>
      <c r="I280" s="2" t="s">
        <v>2916</v>
      </c>
      <c r="J280" s="2" t="s">
        <v>9</v>
      </c>
      <c r="K280" s="2" t="s">
        <v>2719</v>
      </c>
      <c r="L280" s="2" t="s">
        <v>22</v>
      </c>
      <c r="M280" s="2" t="s">
        <v>32</v>
      </c>
      <c r="N280" s="2" t="s">
        <v>13</v>
      </c>
      <c r="O280" s="2" t="s">
        <v>2754</v>
      </c>
    </row>
    <row r="281" ht="57.6" spans="1:15">
      <c r="A281" s="2" t="s">
        <v>2917</v>
      </c>
      <c r="B281" s="2" t="s">
        <v>178</v>
      </c>
      <c r="C281" s="2" t="s">
        <v>2713</v>
      </c>
      <c r="D281" s="2" t="s">
        <v>2918</v>
      </c>
      <c r="E281" s="2" t="s">
        <v>2918</v>
      </c>
      <c r="F281" s="2" t="s">
        <v>2919</v>
      </c>
      <c r="G281" s="2" t="s">
        <v>2920</v>
      </c>
      <c r="H281" s="2" t="s">
        <v>830</v>
      </c>
      <c r="I281" s="2" t="s">
        <v>2921</v>
      </c>
      <c r="J281" s="2" t="s">
        <v>9</v>
      </c>
      <c r="K281" s="2" t="s">
        <v>2719</v>
      </c>
      <c r="L281" s="2" t="s">
        <v>22</v>
      </c>
      <c r="M281" s="2" t="s">
        <v>32</v>
      </c>
      <c r="N281" s="2" t="s">
        <v>13</v>
      </c>
      <c r="O281" s="2" t="s">
        <v>833</v>
      </c>
    </row>
    <row r="282" ht="43.2" spans="1:15">
      <c r="A282" s="2" t="s">
        <v>2922</v>
      </c>
      <c r="B282" s="2" t="s">
        <v>178</v>
      </c>
      <c r="C282" s="2" t="s">
        <v>2713</v>
      </c>
      <c r="D282" s="2" t="s">
        <v>2923</v>
      </c>
      <c r="E282" s="2" t="s">
        <v>2923</v>
      </c>
      <c r="F282" s="2" t="s">
        <v>2924</v>
      </c>
      <c r="G282" s="2" t="s">
        <v>2925</v>
      </c>
      <c r="H282" s="2" t="s">
        <v>2826</v>
      </c>
      <c r="I282" s="2" t="s">
        <v>2926</v>
      </c>
      <c r="J282" s="2" t="s">
        <v>9</v>
      </c>
      <c r="K282" s="2" t="s">
        <v>2731</v>
      </c>
      <c r="L282" s="2" t="s">
        <v>23</v>
      </c>
      <c r="M282" s="2" t="s">
        <v>32</v>
      </c>
      <c r="N282" s="2" t="s">
        <v>13</v>
      </c>
      <c r="O282" s="2" t="s">
        <v>1212</v>
      </c>
    </row>
    <row r="283" ht="72" spans="1:15">
      <c r="A283" s="2" t="s">
        <v>2927</v>
      </c>
      <c r="B283" s="2" t="s">
        <v>178</v>
      </c>
      <c r="C283" s="2" t="s">
        <v>2713</v>
      </c>
      <c r="D283" s="2" t="s">
        <v>2928</v>
      </c>
      <c r="E283" s="2" t="s">
        <v>2928</v>
      </c>
      <c r="F283" s="2" t="s">
        <v>2929</v>
      </c>
      <c r="G283" s="2" t="s">
        <v>2930</v>
      </c>
      <c r="H283" s="2" t="s">
        <v>2931</v>
      </c>
      <c r="I283" s="2" t="s">
        <v>2932</v>
      </c>
      <c r="J283" s="2" t="s">
        <v>9</v>
      </c>
      <c r="K283" s="2" t="s">
        <v>2731</v>
      </c>
      <c r="L283" s="2" t="s">
        <v>23</v>
      </c>
      <c r="M283" s="2" t="s">
        <v>32</v>
      </c>
      <c r="N283" s="2" t="s">
        <v>13</v>
      </c>
      <c r="O283" s="2" t="s">
        <v>833</v>
      </c>
    </row>
    <row r="284" ht="43.2" spans="1:15">
      <c r="A284" s="2" t="s">
        <v>2933</v>
      </c>
      <c r="B284" s="2" t="s">
        <v>178</v>
      </c>
      <c r="C284" s="2" t="s">
        <v>2713</v>
      </c>
      <c r="D284" s="2" t="s">
        <v>2934</v>
      </c>
      <c r="E284" s="2" t="s">
        <v>2934</v>
      </c>
      <c r="F284" s="2" t="s">
        <v>2935</v>
      </c>
      <c r="G284" s="2" t="s">
        <v>2936</v>
      </c>
      <c r="H284" s="2" t="s">
        <v>830</v>
      </c>
      <c r="I284" s="2" t="s">
        <v>2937</v>
      </c>
      <c r="J284" s="2" t="s">
        <v>9</v>
      </c>
      <c r="K284" s="2" t="s">
        <v>2719</v>
      </c>
      <c r="L284" s="2" t="s">
        <v>22</v>
      </c>
      <c r="M284" s="2" t="s">
        <v>32</v>
      </c>
      <c r="N284" s="2" t="s">
        <v>13</v>
      </c>
      <c r="O284" s="2" t="s">
        <v>1212</v>
      </c>
    </row>
    <row r="285" ht="43.2" spans="1:15">
      <c r="A285" s="2" t="s">
        <v>2938</v>
      </c>
      <c r="B285" s="2" t="s">
        <v>178</v>
      </c>
      <c r="C285" s="2" t="s">
        <v>2713</v>
      </c>
      <c r="D285" s="2" t="s">
        <v>2939</v>
      </c>
      <c r="E285" s="2" t="s">
        <v>2939</v>
      </c>
      <c r="F285" s="2" t="s">
        <v>2940</v>
      </c>
      <c r="G285" s="2" t="s">
        <v>2941</v>
      </c>
      <c r="H285" s="2" t="s">
        <v>2942</v>
      </c>
      <c r="I285" s="2" t="s">
        <v>2943</v>
      </c>
      <c r="J285" s="2" t="s">
        <v>9</v>
      </c>
      <c r="K285" s="2" t="s">
        <v>2731</v>
      </c>
      <c r="L285" s="2" t="s">
        <v>23</v>
      </c>
      <c r="M285" s="2" t="s">
        <v>32</v>
      </c>
      <c r="N285" s="2" t="s">
        <v>13</v>
      </c>
      <c r="O285" s="2" t="s">
        <v>1212</v>
      </c>
    </row>
    <row r="286" ht="43.2" spans="1:15">
      <c r="A286" s="2" t="s">
        <v>2944</v>
      </c>
      <c r="B286" s="2" t="s">
        <v>178</v>
      </c>
      <c r="C286" s="2" t="s">
        <v>2713</v>
      </c>
      <c r="D286" s="2" t="s">
        <v>2945</v>
      </c>
      <c r="E286" s="2" t="s">
        <v>2945</v>
      </c>
      <c r="F286" s="2" t="s">
        <v>2946</v>
      </c>
      <c r="G286" s="2" t="s">
        <v>2947</v>
      </c>
      <c r="H286" s="2" t="s">
        <v>2948</v>
      </c>
      <c r="I286" s="2" t="s">
        <v>2949</v>
      </c>
      <c r="J286" s="2" t="s">
        <v>9</v>
      </c>
      <c r="K286" s="2" t="s">
        <v>2719</v>
      </c>
      <c r="L286" s="2" t="s">
        <v>22</v>
      </c>
      <c r="M286" s="2" t="s">
        <v>32</v>
      </c>
      <c r="N286" s="2" t="s">
        <v>13</v>
      </c>
      <c r="O286" s="2" t="s">
        <v>1212</v>
      </c>
    </row>
    <row r="287" ht="57.6" spans="1:15">
      <c r="A287" s="2" t="s">
        <v>2950</v>
      </c>
      <c r="B287" s="2" t="s">
        <v>178</v>
      </c>
      <c r="C287" s="2" t="s">
        <v>2713</v>
      </c>
      <c r="D287" s="2" t="s">
        <v>2951</v>
      </c>
      <c r="E287" s="2" t="s">
        <v>2951</v>
      </c>
      <c r="F287" s="2" t="s">
        <v>2952</v>
      </c>
      <c r="G287" s="2" t="s">
        <v>2953</v>
      </c>
      <c r="H287" s="2" t="s">
        <v>830</v>
      </c>
      <c r="I287" s="2" t="s">
        <v>2954</v>
      </c>
      <c r="J287" s="2" t="s">
        <v>9</v>
      </c>
      <c r="K287" s="2" t="s">
        <v>2719</v>
      </c>
      <c r="L287" s="2" t="s">
        <v>22</v>
      </c>
      <c r="M287" s="2" t="s">
        <v>32</v>
      </c>
      <c r="N287" s="2" t="s">
        <v>13</v>
      </c>
      <c r="O287" s="2" t="s">
        <v>1212</v>
      </c>
    </row>
    <row r="288" ht="57.6" spans="1:15">
      <c r="A288" s="2" t="s">
        <v>2955</v>
      </c>
      <c r="B288" s="2" t="s">
        <v>178</v>
      </c>
      <c r="C288" s="2" t="s">
        <v>2713</v>
      </c>
      <c r="D288" s="2" t="s">
        <v>2956</v>
      </c>
      <c r="E288" s="2" t="s">
        <v>2956</v>
      </c>
      <c r="F288" s="2" t="s">
        <v>2957</v>
      </c>
      <c r="G288" s="2" t="s">
        <v>2958</v>
      </c>
      <c r="H288" s="2" t="s">
        <v>2959</v>
      </c>
      <c r="I288" s="2" t="s">
        <v>2960</v>
      </c>
      <c r="J288" s="2" t="s">
        <v>9</v>
      </c>
      <c r="K288" s="2" t="s">
        <v>2719</v>
      </c>
      <c r="L288" s="2" t="s">
        <v>22</v>
      </c>
      <c r="M288" s="2" t="s">
        <v>32</v>
      </c>
      <c r="N288" s="2" t="s">
        <v>13</v>
      </c>
      <c r="O288" s="2" t="s">
        <v>1212</v>
      </c>
    </row>
    <row r="289" ht="57.6" spans="1:15">
      <c r="A289" s="2" t="s">
        <v>2961</v>
      </c>
      <c r="B289" s="2" t="s">
        <v>178</v>
      </c>
      <c r="C289" s="2" t="s">
        <v>2713</v>
      </c>
      <c r="D289" s="2" t="s">
        <v>2962</v>
      </c>
      <c r="E289" s="2" t="s">
        <v>2962</v>
      </c>
      <c r="F289" s="2" t="s">
        <v>2963</v>
      </c>
      <c r="G289" s="2" t="s">
        <v>2964</v>
      </c>
      <c r="H289" s="2" t="s">
        <v>830</v>
      </c>
      <c r="I289" s="2" t="s">
        <v>2965</v>
      </c>
      <c r="J289" s="2" t="s">
        <v>9</v>
      </c>
      <c r="K289" s="2" t="s">
        <v>2719</v>
      </c>
      <c r="L289" s="2" t="s">
        <v>22</v>
      </c>
      <c r="M289" s="2" t="s">
        <v>32</v>
      </c>
      <c r="N289" s="2" t="s">
        <v>13</v>
      </c>
      <c r="O289" s="2" t="s">
        <v>2754</v>
      </c>
    </row>
    <row r="290" ht="43.2" spans="1:15">
      <c r="A290" s="2" t="s">
        <v>2966</v>
      </c>
      <c r="B290" s="2" t="s">
        <v>178</v>
      </c>
      <c r="C290" s="2" t="s">
        <v>2713</v>
      </c>
      <c r="D290" s="2" t="s">
        <v>2967</v>
      </c>
      <c r="E290" s="2" t="s">
        <v>2967</v>
      </c>
      <c r="F290" s="2" t="s">
        <v>2968</v>
      </c>
      <c r="G290" s="2" t="s">
        <v>2969</v>
      </c>
      <c r="H290" s="2" t="s">
        <v>830</v>
      </c>
      <c r="I290" s="2" t="s">
        <v>2970</v>
      </c>
      <c r="J290" s="2" t="s">
        <v>9</v>
      </c>
      <c r="K290" s="2" t="s">
        <v>2731</v>
      </c>
      <c r="L290" s="2" t="s">
        <v>23</v>
      </c>
      <c r="M290" s="2" t="s">
        <v>32</v>
      </c>
      <c r="N290" s="2" t="s">
        <v>13</v>
      </c>
      <c r="O290" s="2" t="s">
        <v>2754</v>
      </c>
    </row>
    <row r="291" ht="43.2" spans="1:15">
      <c r="A291" s="2" t="s">
        <v>2971</v>
      </c>
      <c r="B291" s="2" t="s">
        <v>178</v>
      </c>
      <c r="C291" s="2" t="s">
        <v>2713</v>
      </c>
      <c r="D291" s="2" t="s">
        <v>2972</v>
      </c>
      <c r="E291" s="2" t="s">
        <v>2972</v>
      </c>
      <c r="F291" s="2" t="s">
        <v>2973</v>
      </c>
      <c r="G291" s="2" t="s">
        <v>2974</v>
      </c>
      <c r="H291" s="2" t="s">
        <v>2975</v>
      </c>
      <c r="I291" s="2" t="s">
        <v>2976</v>
      </c>
      <c r="J291" s="2" t="s">
        <v>9</v>
      </c>
      <c r="K291" s="2" t="s">
        <v>2731</v>
      </c>
      <c r="L291" s="2" t="s">
        <v>23</v>
      </c>
      <c r="M291" s="2" t="s">
        <v>32</v>
      </c>
      <c r="N291" s="2" t="s">
        <v>13</v>
      </c>
      <c r="O291" s="2" t="s">
        <v>1212</v>
      </c>
    </row>
    <row r="292" ht="28.8" spans="1:15">
      <c r="A292" s="2" t="s">
        <v>2977</v>
      </c>
      <c r="B292" s="2" t="s">
        <v>2978</v>
      </c>
      <c r="C292" s="2" t="s">
        <v>9</v>
      </c>
      <c r="D292" s="2" t="s">
        <v>2979</v>
      </c>
      <c r="E292" s="2" t="s">
        <v>2979</v>
      </c>
      <c r="F292" s="2" t="s">
        <v>9</v>
      </c>
      <c r="G292" s="2" t="s">
        <v>2980</v>
      </c>
      <c r="H292" s="2"/>
      <c r="I292" s="2" t="s">
        <v>2981</v>
      </c>
      <c r="J292" s="2" t="s">
        <v>9</v>
      </c>
      <c r="K292" s="2"/>
      <c r="L292" s="2" t="s">
        <v>22</v>
      </c>
      <c r="M292" s="2" t="s">
        <v>33</v>
      </c>
      <c r="N292" s="2" t="s">
        <v>13</v>
      </c>
      <c r="O292" s="2" t="s">
        <v>9</v>
      </c>
    </row>
    <row r="293" ht="28.8" spans="1:15">
      <c r="A293" s="2" t="s">
        <v>2982</v>
      </c>
      <c r="B293" s="2" t="s">
        <v>2978</v>
      </c>
      <c r="C293" s="2" t="s">
        <v>9</v>
      </c>
      <c r="D293" s="2" t="s">
        <v>2983</v>
      </c>
      <c r="E293" s="2" t="s">
        <v>2983</v>
      </c>
      <c r="F293" s="2" t="s">
        <v>9</v>
      </c>
      <c r="G293" s="2" t="s">
        <v>2984</v>
      </c>
      <c r="H293" s="2"/>
      <c r="I293" s="2" t="s">
        <v>2985</v>
      </c>
      <c r="J293" s="2" t="s">
        <v>9</v>
      </c>
      <c r="K293" s="2"/>
      <c r="L293" s="2" t="s">
        <v>22</v>
      </c>
      <c r="M293" s="2" t="s">
        <v>33</v>
      </c>
      <c r="N293" s="2" t="s">
        <v>13</v>
      </c>
      <c r="O293" s="2" t="s">
        <v>9</v>
      </c>
    </row>
    <row r="294" ht="28.8" spans="1:15">
      <c r="A294" s="2" t="s">
        <v>2986</v>
      </c>
      <c r="B294" s="2" t="s">
        <v>2978</v>
      </c>
      <c r="C294" s="2" t="s">
        <v>9</v>
      </c>
      <c r="D294" s="2" t="s">
        <v>2987</v>
      </c>
      <c r="E294" s="2" t="s">
        <v>2987</v>
      </c>
      <c r="F294" s="2" t="s">
        <v>9</v>
      </c>
      <c r="G294" s="2" t="s">
        <v>2988</v>
      </c>
      <c r="H294" s="2"/>
      <c r="I294" s="2" t="s">
        <v>2989</v>
      </c>
      <c r="J294" s="2" t="s">
        <v>9</v>
      </c>
      <c r="K294" s="2"/>
      <c r="L294" s="2" t="s">
        <v>22</v>
      </c>
      <c r="M294" s="2" t="s">
        <v>33</v>
      </c>
      <c r="N294" s="2" t="s">
        <v>13</v>
      </c>
      <c r="O294" s="2" t="s">
        <v>9</v>
      </c>
    </row>
    <row r="295" ht="28.8" spans="1:15">
      <c r="A295" s="2" t="s">
        <v>2990</v>
      </c>
      <c r="B295" s="2" t="s">
        <v>2978</v>
      </c>
      <c r="C295" s="2" t="s">
        <v>9</v>
      </c>
      <c r="D295" s="2" t="s">
        <v>2991</v>
      </c>
      <c r="E295" s="2" t="s">
        <v>2991</v>
      </c>
      <c r="F295" s="2" t="s">
        <v>9</v>
      </c>
      <c r="G295" s="2" t="s">
        <v>2992</v>
      </c>
      <c r="H295" s="2"/>
      <c r="I295" s="2" t="s">
        <v>2993</v>
      </c>
      <c r="J295" s="2" t="s">
        <v>9</v>
      </c>
      <c r="K295" s="2"/>
      <c r="L295" s="2" t="s">
        <v>22</v>
      </c>
      <c r="M295" s="2" t="s">
        <v>33</v>
      </c>
      <c r="N295" s="2" t="s">
        <v>13</v>
      </c>
      <c r="O295" s="2" t="s">
        <v>9</v>
      </c>
    </row>
    <row r="296" ht="28.8" spans="1:15">
      <c r="A296" s="2" t="s">
        <v>2994</v>
      </c>
      <c r="B296" s="2" t="s">
        <v>2978</v>
      </c>
      <c r="C296" s="2" t="s">
        <v>9</v>
      </c>
      <c r="D296" s="2" t="s">
        <v>2995</v>
      </c>
      <c r="E296" s="2" t="s">
        <v>2995</v>
      </c>
      <c r="F296" s="2" t="s">
        <v>9</v>
      </c>
      <c r="G296" s="2" t="s">
        <v>2996</v>
      </c>
      <c r="H296" s="2"/>
      <c r="I296" s="2" t="s">
        <v>2997</v>
      </c>
      <c r="J296" s="2" t="s">
        <v>9</v>
      </c>
      <c r="K296" s="2"/>
      <c r="L296" s="2" t="s">
        <v>22</v>
      </c>
      <c r="M296" s="2" t="s">
        <v>33</v>
      </c>
      <c r="N296" s="2" t="s">
        <v>13</v>
      </c>
      <c r="O296" s="2" t="s">
        <v>9</v>
      </c>
    </row>
    <row r="297" ht="28.8" spans="1:15">
      <c r="A297" s="2" t="s">
        <v>2998</v>
      </c>
      <c r="B297" s="2" t="s">
        <v>2978</v>
      </c>
      <c r="C297" s="2" t="s">
        <v>9</v>
      </c>
      <c r="D297" s="2" t="s">
        <v>2999</v>
      </c>
      <c r="E297" s="2" t="s">
        <v>2999</v>
      </c>
      <c r="F297" s="2" t="s">
        <v>9</v>
      </c>
      <c r="G297" s="2" t="s">
        <v>3000</v>
      </c>
      <c r="H297" s="2"/>
      <c r="I297" s="2" t="s">
        <v>3001</v>
      </c>
      <c r="J297" s="2" t="s">
        <v>9</v>
      </c>
      <c r="K297" s="2"/>
      <c r="L297" s="2" t="s">
        <v>22</v>
      </c>
      <c r="M297" s="2" t="s">
        <v>33</v>
      </c>
      <c r="N297" s="2" t="s">
        <v>13</v>
      </c>
      <c r="O297" s="2" t="s">
        <v>9</v>
      </c>
    </row>
    <row r="298" ht="28.8" spans="1:15">
      <c r="A298" s="2" t="s">
        <v>3002</v>
      </c>
      <c r="B298" s="2" t="s">
        <v>2978</v>
      </c>
      <c r="C298" s="2" t="s">
        <v>9</v>
      </c>
      <c r="D298" s="2" t="s">
        <v>3003</v>
      </c>
      <c r="E298" s="2" t="s">
        <v>3003</v>
      </c>
      <c r="F298" s="2" t="s">
        <v>9</v>
      </c>
      <c r="G298" s="2" t="s">
        <v>3004</v>
      </c>
      <c r="H298" s="2"/>
      <c r="I298" s="2" t="s">
        <v>3001</v>
      </c>
      <c r="J298" s="2" t="s">
        <v>9</v>
      </c>
      <c r="K298" s="2"/>
      <c r="L298" s="2" t="s">
        <v>22</v>
      </c>
      <c r="M298" s="2" t="s">
        <v>33</v>
      </c>
      <c r="N298" s="2" t="s">
        <v>13</v>
      </c>
      <c r="O298" s="2" t="s">
        <v>9</v>
      </c>
    </row>
    <row r="299" ht="28.8" spans="1:15">
      <c r="A299" s="2" t="s">
        <v>3005</v>
      </c>
      <c r="B299" s="2" t="s">
        <v>2978</v>
      </c>
      <c r="C299" s="2" t="s">
        <v>9</v>
      </c>
      <c r="D299" s="2" t="s">
        <v>3006</v>
      </c>
      <c r="E299" s="2" t="s">
        <v>3006</v>
      </c>
      <c r="F299" s="2" t="s">
        <v>9</v>
      </c>
      <c r="G299" s="2" t="s">
        <v>3007</v>
      </c>
      <c r="H299" s="2"/>
      <c r="I299" s="2" t="s">
        <v>3001</v>
      </c>
      <c r="J299" s="2" t="s">
        <v>9</v>
      </c>
      <c r="K299" s="2" t="s">
        <v>3008</v>
      </c>
      <c r="L299" s="2" t="s">
        <v>23</v>
      </c>
      <c r="M299" s="2" t="s">
        <v>33</v>
      </c>
      <c r="N299" s="2" t="s">
        <v>13</v>
      </c>
      <c r="O299" s="2" t="s">
        <v>9</v>
      </c>
    </row>
    <row r="300" ht="28.8" spans="1:15">
      <c r="A300" s="2" t="s">
        <v>3009</v>
      </c>
      <c r="B300" s="2" t="s">
        <v>2978</v>
      </c>
      <c r="C300" s="2" t="s">
        <v>9</v>
      </c>
      <c r="D300" s="2" t="s">
        <v>3010</v>
      </c>
      <c r="E300" s="2" t="s">
        <v>3010</v>
      </c>
      <c r="F300" s="2" t="s">
        <v>9</v>
      </c>
      <c r="G300" s="2" t="s">
        <v>3011</v>
      </c>
      <c r="H300" s="2"/>
      <c r="I300" s="2" t="s">
        <v>3012</v>
      </c>
      <c r="J300" s="2" t="s">
        <v>9</v>
      </c>
      <c r="K300" s="2"/>
      <c r="L300" s="2" t="s">
        <v>22</v>
      </c>
      <c r="M300" s="2" t="s">
        <v>33</v>
      </c>
      <c r="N300" s="2" t="s">
        <v>13</v>
      </c>
      <c r="O300" s="2" t="s">
        <v>9</v>
      </c>
    </row>
    <row r="301" ht="28.8" spans="1:15">
      <c r="A301" s="2" t="s">
        <v>3013</v>
      </c>
      <c r="B301" s="2" t="s">
        <v>2978</v>
      </c>
      <c r="C301" s="2" t="s">
        <v>9</v>
      </c>
      <c r="D301" s="2" t="s">
        <v>3014</v>
      </c>
      <c r="E301" s="2" t="s">
        <v>3014</v>
      </c>
      <c r="F301" s="2" t="s">
        <v>9</v>
      </c>
      <c r="G301" s="2" t="s">
        <v>3015</v>
      </c>
      <c r="H301" s="2"/>
      <c r="I301" s="2" t="s">
        <v>3016</v>
      </c>
      <c r="J301" s="2" t="s">
        <v>9</v>
      </c>
      <c r="K301" s="2"/>
      <c r="L301" s="2" t="s">
        <v>22</v>
      </c>
      <c r="M301" s="2" t="s">
        <v>33</v>
      </c>
      <c r="N301" s="2" t="s">
        <v>13</v>
      </c>
      <c r="O301" s="2" t="s">
        <v>9</v>
      </c>
    </row>
    <row r="302" ht="28.8" spans="1:15">
      <c r="A302" s="2" t="s">
        <v>3017</v>
      </c>
      <c r="B302" s="2" t="s">
        <v>2978</v>
      </c>
      <c r="C302" s="2" t="s">
        <v>9</v>
      </c>
      <c r="D302" s="2" t="s">
        <v>3018</v>
      </c>
      <c r="E302" s="2" t="s">
        <v>3018</v>
      </c>
      <c r="F302" s="2" t="s">
        <v>9</v>
      </c>
      <c r="G302" s="2" t="s">
        <v>3019</v>
      </c>
      <c r="H302" s="2"/>
      <c r="I302" s="2" t="s">
        <v>3020</v>
      </c>
      <c r="J302" s="2" t="s">
        <v>9</v>
      </c>
      <c r="K302" s="2" t="s">
        <v>3021</v>
      </c>
      <c r="L302" s="2" t="s">
        <v>23</v>
      </c>
      <c r="M302" s="2" t="s">
        <v>33</v>
      </c>
      <c r="N302" s="2" t="s">
        <v>13</v>
      </c>
      <c r="O302" s="2" t="s">
        <v>9</v>
      </c>
    </row>
    <row r="303" ht="28.8" spans="1:15">
      <c r="A303" s="2" t="s">
        <v>3022</v>
      </c>
      <c r="B303" s="2" t="s">
        <v>2978</v>
      </c>
      <c r="C303" s="2" t="s">
        <v>9</v>
      </c>
      <c r="D303" s="2" t="s">
        <v>3023</v>
      </c>
      <c r="E303" s="2" t="s">
        <v>3023</v>
      </c>
      <c r="F303" s="2" t="s">
        <v>9</v>
      </c>
      <c r="G303" s="2" t="s">
        <v>3024</v>
      </c>
      <c r="H303" s="2"/>
      <c r="I303" s="2" t="s">
        <v>3025</v>
      </c>
      <c r="J303" s="2" t="s">
        <v>9</v>
      </c>
      <c r="K303" s="2"/>
      <c r="L303" s="2" t="s">
        <v>22</v>
      </c>
      <c r="M303" s="2" t="s">
        <v>33</v>
      </c>
      <c r="N303" s="2" t="s">
        <v>13</v>
      </c>
      <c r="O303" s="2" t="s">
        <v>9</v>
      </c>
    </row>
    <row r="304" ht="28.8" spans="1:15">
      <c r="A304" s="2" t="s">
        <v>3026</v>
      </c>
      <c r="B304" s="2" t="s">
        <v>2978</v>
      </c>
      <c r="C304" s="2" t="s">
        <v>9</v>
      </c>
      <c r="D304" s="2" t="s">
        <v>3027</v>
      </c>
      <c r="E304" s="2" t="s">
        <v>3027</v>
      </c>
      <c r="F304" s="2" t="s">
        <v>9</v>
      </c>
      <c r="G304" s="2" t="s">
        <v>3028</v>
      </c>
      <c r="H304" s="2"/>
      <c r="I304" s="2" t="s">
        <v>3029</v>
      </c>
      <c r="J304" s="2" t="s">
        <v>9</v>
      </c>
      <c r="K304" s="2" t="s">
        <v>3030</v>
      </c>
      <c r="L304" s="2" t="s">
        <v>23</v>
      </c>
      <c r="M304" s="2" t="s">
        <v>33</v>
      </c>
      <c r="N304" s="2" t="s">
        <v>13</v>
      </c>
      <c r="O304" s="2" t="s">
        <v>9</v>
      </c>
    </row>
    <row r="305" ht="28.8" spans="1:15">
      <c r="A305" s="2" t="s">
        <v>3031</v>
      </c>
      <c r="B305" s="2" t="s">
        <v>2978</v>
      </c>
      <c r="C305" s="2" t="s">
        <v>9</v>
      </c>
      <c r="D305" s="2" t="s">
        <v>3032</v>
      </c>
      <c r="E305" s="2" t="s">
        <v>3032</v>
      </c>
      <c r="F305" s="2" t="s">
        <v>9</v>
      </c>
      <c r="G305" s="2" t="s">
        <v>3033</v>
      </c>
      <c r="H305" s="2"/>
      <c r="I305" s="2" t="s">
        <v>3034</v>
      </c>
      <c r="J305" s="2" t="s">
        <v>9</v>
      </c>
      <c r="K305" s="2"/>
      <c r="L305" s="2" t="s">
        <v>22</v>
      </c>
      <c r="M305" s="2" t="s">
        <v>33</v>
      </c>
      <c r="N305" s="2" t="s">
        <v>13</v>
      </c>
      <c r="O305" s="2" t="s">
        <v>9</v>
      </c>
    </row>
    <row r="306" ht="28.8" spans="1:15">
      <c r="A306" s="2" t="s">
        <v>3035</v>
      </c>
      <c r="B306" s="2" t="s">
        <v>2978</v>
      </c>
      <c r="C306" s="2" t="s">
        <v>9</v>
      </c>
      <c r="D306" s="2" t="s">
        <v>3036</v>
      </c>
      <c r="E306" s="2" t="s">
        <v>3036</v>
      </c>
      <c r="F306" s="2" t="s">
        <v>9</v>
      </c>
      <c r="G306" s="2" t="s">
        <v>3037</v>
      </c>
      <c r="H306" s="2"/>
      <c r="I306" s="2" t="s">
        <v>3038</v>
      </c>
      <c r="J306" s="2" t="s">
        <v>9</v>
      </c>
      <c r="K306" s="2"/>
      <c r="L306" s="2" t="s">
        <v>22</v>
      </c>
      <c r="M306" s="2" t="s">
        <v>33</v>
      </c>
      <c r="N306" s="2" t="s">
        <v>13</v>
      </c>
      <c r="O306" s="2" t="s">
        <v>9</v>
      </c>
    </row>
    <row r="307" ht="28.8" spans="1:15">
      <c r="A307" s="2" t="s">
        <v>3039</v>
      </c>
      <c r="B307" s="2" t="s">
        <v>2978</v>
      </c>
      <c r="C307" s="2" t="s">
        <v>9</v>
      </c>
      <c r="D307" s="2" t="s">
        <v>3040</v>
      </c>
      <c r="E307" s="2" t="s">
        <v>3040</v>
      </c>
      <c r="F307" s="2" t="s">
        <v>9</v>
      </c>
      <c r="G307" s="2" t="s">
        <v>3041</v>
      </c>
      <c r="H307" s="2"/>
      <c r="I307" s="2" t="s">
        <v>3042</v>
      </c>
      <c r="J307" s="2" t="s">
        <v>9</v>
      </c>
      <c r="K307" s="2"/>
      <c r="L307" s="2" t="s">
        <v>22</v>
      </c>
      <c r="M307" s="2" t="s">
        <v>33</v>
      </c>
      <c r="N307" s="2" t="s">
        <v>13</v>
      </c>
      <c r="O307" s="2" t="s">
        <v>9</v>
      </c>
    </row>
    <row r="308" ht="28.8" spans="1:15">
      <c r="A308" s="2" t="s">
        <v>3043</v>
      </c>
      <c r="B308" s="2" t="s">
        <v>2978</v>
      </c>
      <c r="C308" s="2" t="s">
        <v>9</v>
      </c>
      <c r="D308" s="2" t="s">
        <v>3044</v>
      </c>
      <c r="E308" s="2" t="s">
        <v>3044</v>
      </c>
      <c r="F308" s="2" t="s">
        <v>9</v>
      </c>
      <c r="G308" s="2" t="s">
        <v>3045</v>
      </c>
      <c r="H308" s="2"/>
      <c r="I308" s="2" t="s">
        <v>3046</v>
      </c>
      <c r="J308" s="2" t="s">
        <v>9</v>
      </c>
      <c r="K308" s="2"/>
      <c r="L308" s="2" t="s">
        <v>22</v>
      </c>
      <c r="M308" s="2" t="s">
        <v>33</v>
      </c>
      <c r="N308" s="2" t="s">
        <v>13</v>
      </c>
      <c r="O308" s="2" t="s">
        <v>9</v>
      </c>
    </row>
    <row r="309" ht="28.8" spans="1:15">
      <c r="A309" s="2" t="s">
        <v>3047</v>
      </c>
      <c r="B309" s="2" t="s">
        <v>2978</v>
      </c>
      <c r="C309" s="2" t="s">
        <v>9</v>
      </c>
      <c r="D309" s="2" t="s">
        <v>3048</v>
      </c>
      <c r="E309" s="2" t="s">
        <v>3048</v>
      </c>
      <c r="F309" s="2" t="s">
        <v>9</v>
      </c>
      <c r="G309" s="2" t="s">
        <v>3049</v>
      </c>
      <c r="H309" s="2"/>
      <c r="I309" s="2" t="s">
        <v>3050</v>
      </c>
      <c r="J309" s="2" t="s">
        <v>9</v>
      </c>
      <c r="K309" s="2"/>
      <c r="L309" s="2" t="s">
        <v>22</v>
      </c>
      <c r="M309" s="2" t="s">
        <v>33</v>
      </c>
      <c r="N309" s="2" t="s">
        <v>13</v>
      </c>
      <c r="O309" s="2" t="s">
        <v>9</v>
      </c>
    </row>
    <row r="310" ht="28.8" spans="1:15">
      <c r="A310" s="2" t="s">
        <v>3051</v>
      </c>
      <c r="B310" s="2" t="s">
        <v>2978</v>
      </c>
      <c r="C310" s="2" t="s">
        <v>9</v>
      </c>
      <c r="D310" s="2" t="s">
        <v>3052</v>
      </c>
      <c r="E310" s="2" t="s">
        <v>3052</v>
      </c>
      <c r="F310" s="2" t="s">
        <v>9</v>
      </c>
      <c r="G310" s="2" t="s">
        <v>3053</v>
      </c>
      <c r="H310" s="2"/>
      <c r="I310" s="2" t="s">
        <v>3054</v>
      </c>
      <c r="J310" s="2" t="s">
        <v>9</v>
      </c>
      <c r="K310" s="2"/>
      <c r="L310" s="2" t="s">
        <v>22</v>
      </c>
      <c r="M310" s="2" t="s">
        <v>33</v>
      </c>
      <c r="N310" s="2" t="s">
        <v>13</v>
      </c>
      <c r="O310" s="2" t="s">
        <v>9</v>
      </c>
    </row>
    <row r="311" ht="28.8" spans="1:15">
      <c r="A311" s="2" t="s">
        <v>3055</v>
      </c>
      <c r="B311" s="2" t="s">
        <v>2978</v>
      </c>
      <c r="C311" s="2" t="s">
        <v>9</v>
      </c>
      <c r="D311" s="2" t="s">
        <v>3056</v>
      </c>
      <c r="E311" s="2" t="s">
        <v>3056</v>
      </c>
      <c r="F311" s="2" t="s">
        <v>9</v>
      </c>
      <c r="G311" s="2" t="s">
        <v>3057</v>
      </c>
      <c r="H311" s="2"/>
      <c r="I311" s="2" t="s">
        <v>3058</v>
      </c>
      <c r="J311" s="2" t="s">
        <v>9</v>
      </c>
      <c r="K311" s="2"/>
      <c r="L311" s="2" t="s">
        <v>22</v>
      </c>
      <c r="M311" s="2" t="s">
        <v>33</v>
      </c>
      <c r="N311" s="2" t="s">
        <v>13</v>
      </c>
      <c r="O311" s="2" t="s">
        <v>9</v>
      </c>
    </row>
    <row r="312" ht="28.8" spans="1:15">
      <c r="A312" s="2" t="s">
        <v>3059</v>
      </c>
      <c r="B312" s="2" t="s">
        <v>2978</v>
      </c>
      <c r="C312" s="2" t="s">
        <v>9</v>
      </c>
      <c r="D312" s="2" t="s">
        <v>3060</v>
      </c>
      <c r="E312" s="2" t="s">
        <v>3060</v>
      </c>
      <c r="F312" s="2" t="s">
        <v>9</v>
      </c>
      <c r="G312" s="2" t="s">
        <v>3061</v>
      </c>
      <c r="H312" s="2"/>
      <c r="I312" s="2" t="s">
        <v>3062</v>
      </c>
      <c r="J312" s="2" t="s">
        <v>9</v>
      </c>
      <c r="K312" s="2"/>
      <c r="L312" s="2" t="s">
        <v>22</v>
      </c>
      <c r="M312" s="2" t="s">
        <v>33</v>
      </c>
      <c r="N312" s="2" t="s">
        <v>13</v>
      </c>
      <c r="O312" s="2" t="s">
        <v>9</v>
      </c>
    </row>
    <row r="313" ht="28.8" spans="1:15">
      <c r="A313" s="2" t="s">
        <v>3063</v>
      </c>
      <c r="B313" s="2" t="s">
        <v>2978</v>
      </c>
      <c r="C313" s="2" t="s">
        <v>9</v>
      </c>
      <c r="D313" s="2" t="s">
        <v>3064</v>
      </c>
      <c r="E313" s="2" t="s">
        <v>3064</v>
      </c>
      <c r="F313" s="2" t="s">
        <v>9</v>
      </c>
      <c r="G313" s="2" t="s">
        <v>3065</v>
      </c>
      <c r="H313" s="2"/>
      <c r="I313" s="2" t="s">
        <v>3066</v>
      </c>
      <c r="J313" s="2" t="s">
        <v>9</v>
      </c>
      <c r="K313" s="2"/>
      <c r="L313" s="2" t="s">
        <v>22</v>
      </c>
      <c r="M313" s="2" t="s">
        <v>33</v>
      </c>
      <c r="N313" s="2" t="s">
        <v>13</v>
      </c>
      <c r="O313" s="2" t="s">
        <v>9</v>
      </c>
    </row>
    <row r="314" ht="28.8" spans="1:15">
      <c r="A314" s="2" t="s">
        <v>3067</v>
      </c>
      <c r="B314" s="2" t="s">
        <v>2978</v>
      </c>
      <c r="C314" s="2" t="s">
        <v>9</v>
      </c>
      <c r="D314" s="2" t="s">
        <v>3068</v>
      </c>
      <c r="E314" s="2" t="s">
        <v>3068</v>
      </c>
      <c r="F314" s="2" t="s">
        <v>9</v>
      </c>
      <c r="G314" s="2" t="s">
        <v>3069</v>
      </c>
      <c r="H314" s="2"/>
      <c r="I314" s="2" t="s">
        <v>3070</v>
      </c>
      <c r="J314" s="2" t="s">
        <v>9</v>
      </c>
      <c r="K314" s="2"/>
      <c r="L314" s="2" t="s">
        <v>22</v>
      </c>
      <c r="M314" s="2" t="s">
        <v>33</v>
      </c>
      <c r="N314" s="2" t="s">
        <v>13</v>
      </c>
      <c r="O314" s="2" t="s">
        <v>9</v>
      </c>
    </row>
    <row r="315" ht="28.8" spans="1:15">
      <c r="A315" s="2" t="s">
        <v>3071</v>
      </c>
      <c r="B315" s="2" t="s">
        <v>2978</v>
      </c>
      <c r="C315" s="2" t="s">
        <v>9</v>
      </c>
      <c r="D315" s="2" t="s">
        <v>3072</v>
      </c>
      <c r="E315" s="2" t="s">
        <v>3072</v>
      </c>
      <c r="F315" s="2" t="s">
        <v>9</v>
      </c>
      <c r="G315" s="2" t="s">
        <v>3073</v>
      </c>
      <c r="H315" s="2"/>
      <c r="I315" s="2" t="s">
        <v>3074</v>
      </c>
      <c r="J315" s="2" t="s">
        <v>9</v>
      </c>
      <c r="K315" s="2"/>
      <c r="L315" s="2" t="s">
        <v>22</v>
      </c>
      <c r="M315" s="2" t="s">
        <v>33</v>
      </c>
      <c r="N315" s="2" t="s">
        <v>13</v>
      </c>
      <c r="O315" s="2" t="s">
        <v>9</v>
      </c>
    </row>
    <row r="316" ht="28.8" spans="1:15">
      <c r="A316" s="2" t="s">
        <v>3075</v>
      </c>
      <c r="B316" s="2" t="s">
        <v>2978</v>
      </c>
      <c r="C316" s="2" t="s">
        <v>9</v>
      </c>
      <c r="D316" s="2" t="s">
        <v>3076</v>
      </c>
      <c r="E316" s="2" t="s">
        <v>3076</v>
      </c>
      <c r="F316" s="2" t="s">
        <v>9</v>
      </c>
      <c r="G316" s="2" t="s">
        <v>3077</v>
      </c>
      <c r="H316" s="2"/>
      <c r="I316" s="2" t="s">
        <v>3078</v>
      </c>
      <c r="J316" s="2" t="s">
        <v>9</v>
      </c>
      <c r="K316" s="2"/>
      <c r="L316" s="2" t="s">
        <v>22</v>
      </c>
      <c r="M316" s="2" t="s">
        <v>33</v>
      </c>
      <c r="N316" s="2" t="s">
        <v>13</v>
      </c>
      <c r="O316" s="2" t="s">
        <v>9</v>
      </c>
    </row>
    <row r="317" ht="28.8" spans="1:15">
      <c r="A317" s="2" t="s">
        <v>3079</v>
      </c>
      <c r="B317" s="2" t="s">
        <v>2978</v>
      </c>
      <c r="C317" s="2" t="s">
        <v>9</v>
      </c>
      <c r="D317" s="2" t="s">
        <v>3080</v>
      </c>
      <c r="E317" s="2" t="s">
        <v>3080</v>
      </c>
      <c r="F317" s="2" t="s">
        <v>9</v>
      </c>
      <c r="G317" s="2" t="s">
        <v>3081</v>
      </c>
      <c r="H317" s="2"/>
      <c r="I317" s="2" t="s">
        <v>3082</v>
      </c>
      <c r="J317" s="2" t="s">
        <v>9</v>
      </c>
      <c r="K317" s="2"/>
      <c r="L317" s="2" t="s">
        <v>22</v>
      </c>
      <c r="M317" s="2" t="s">
        <v>33</v>
      </c>
      <c r="N317" s="2" t="s">
        <v>13</v>
      </c>
      <c r="O317" s="2" t="s">
        <v>9</v>
      </c>
    </row>
    <row r="318" ht="28.8" spans="1:15">
      <c r="A318" s="2" t="s">
        <v>3083</v>
      </c>
      <c r="B318" s="2" t="s">
        <v>2978</v>
      </c>
      <c r="C318" s="2" t="s">
        <v>9</v>
      </c>
      <c r="D318" s="2" t="s">
        <v>3084</v>
      </c>
      <c r="E318" s="2" t="s">
        <v>3084</v>
      </c>
      <c r="F318" s="2" t="s">
        <v>9</v>
      </c>
      <c r="G318" s="2" t="s">
        <v>3085</v>
      </c>
      <c r="H318" s="2"/>
      <c r="I318" s="2" t="s">
        <v>3086</v>
      </c>
      <c r="J318" s="2" t="s">
        <v>9</v>
      </c>
      <c r="K318" s="2"/>
      <c r="L318" s="2" t="s">
        <v>22</v>
      </c>
      <c r="M318" s="2" t="s">
        <v>33</v>
      </c>
      <c r="N318" s="2" t="s">
        <v>13</v>
      </c>
      <c r="O318" s="2" t="s">
        <v>9</v>
      </c>
    </row>
    <row r="319" ht="28.8" spans="1:15">
      <c r="A319" s="2" t="s">
        <v>3087</v>
      </c>
      <c r="B319" s="2" t="s">
        <v>2978</v>
      </c>
      <c r="C319" s="2" t="s">
        <v>9</v>
      </c>
      <c r="D319" s="2" t="s">
        <v>3088</v>
      </c>
      <c r="E319" s="2" t="s">
        <v>3088</v>
      </c>
      <c r="F319" s="2" t="s">
        <v>9</v>
      </c>
      <c r="G319" s="2" t="s">
        <v>3089</v>
      </c>
      <c r="H319" s="2"/>
      <c r="I319" s="2" t="s">
        <v>3090</v>
      </c>
      <c r="J319" s="2" t="s">
        <v>9</v>
      </c>
      <c r="K319" s="2"/>
      <c r="L319" s="2" t="s">
        <v>22</v>
      </c>
      <c r="M319" s="2" t="s">
        <v>33</v>
      </c>
      <c r="N319" s="2" t="s">
        <v>13</v>
      </c>
      <c r="O319" s="2" t="s">
        <v>9</v>
      </c>
    </row>
    <row r="320" ht="43.2" spans="1:15">
      <c r="A320" s="2" t="s">
        <v>3091</v>
      </c>
      <c r="B320" s="2" t="s">
        <v>3092</v>
      </c>
      <c r="C320" s="2" t="s">
        <v>9</v>
      </c>
      <c r="D320" s="2" t="s">
        <v>3093</v>
      </c>
      <c r="E320" s="2" t="s">
        <v>3093</v>
      </c>
      <c r="F320" s="2" t="s">
        <v>9</v>
      </c>
      <c r="G320" s="2" t="s">
        <v>3094</v>
      </c>
      <c r="H320" s="2"/>
      <c r="I320" s="2" t="s">
        <v>3095</v>
      </c>
      <c r="J320" s="2" t="s">
        <v>9</v>
      </c>
      <c r="K320" s="2" t="s">
        <v>3096</v>
      </c>
      <c r="L320" s="2" t="s">
        <v>22</v>
      </c>
      <c r="M320" s="2" t="s">
        <v>33</v>
      </c>
      <c r="N320" s="2" t="s">
        <v>13</v>
      </c>
      <c r="O320" s="2" t="s">
        <v>9</v>
      </c>
    </row>
    <row r="321" ht="43.2" spans="1:15">
      <c r="A321" s="2" t="s">
        <v>3097</v>
      </c>
      <c r="B321" s="2" t="s">
        <v>3092</v>
      </c>
      <c r="C321" s="2" t="s">
        <v>9</v>
      </c>
      <c r="D321" s="2" t="s">
        <v>3098</v>
      </c>
      <c r="E321" s="2" t="s">
        <v>3098</v>
      </c>
      <c r="F321" s="2" t="s">
        <v>9</v>
      </c>
      <c r="G321" s="2" t="s">
        <v>3099</v>
      </c>
      <c r="H321" s="2"/>
      <c r="I321" s="2" t="s">
        <v>3100</v>
      </c>
      <c r="J321" s="2" t="s">
        <v>9</v>
      </c>
      <c r="K321" s="2"/>
      <c r="L321" s="2" t="s">
        <v>22</v>
      </c>
      <c r="M321" s="2" t="s">
        <v>33</v>
      </c>
      <c r="N321" s="2" t="s">
        <v>13</v>
      </c>
      <c r="O321" s="2" t="s">
        <v>9</v>
      </c>
    </row>
    <row r="322" ht="43.2" spans="1:15">
      <c r="A322" s="2" t="s">
        <v>3101</v>
      </c>
      <c r="B322" s="2" t="s">
        <v>3092</v>
      </c>
      <c r="C322" s="2" t="s">
        <v>9</v>
      </c>
      <c r="D322" s="2" t="s">
        <v>3102</v>
      </c>
      <c r="E322" s="2" t="s">
        <v>3102</v>
      </c>
      <c r="F322" s="2" t="s">
        <v>9</v>
      </c>
      <c r="G322" s="2" t="s">
        <v>3103</v>
      </c>
      <c r="H322" s="2"/>
      <c r="I322" s="2" t="s">
        <v>3104</v>
      </c>
      <c r="J322" s="2" t="s">
        <v>9</v>
      </c>
      <c r="K322" s="2"/>
      <c r="L322" s="2" t="s">
        <v>22</v>
      </c>
      <c r="M322" s="2" t="s">
        <v>33</v>
      </c>
      <c r="N322" s="2" t="s">
        <v>13</v>
      </c>
      <c r="O322" s="2" t="s">
        <v>9</v>
      </c>
    </row>
    <row r="323" ht="43.2" spans="1:15">
      <c r="A323" s="2" t="s">
        <v>3105</v>
      </c>
      <c r="B323" s="2" t="s">
        <v>3092</v>
      </c>
      <c r="C323" s="2" t="s">
        <v>9</v>
      </c>
      <c r="D323" s="2" t="s">
        <v>3106</v>
      </c>
      <c r="E323" s="2" t="s">
        <v>3106</v>
      </c>
      <c r="F323" s="2" t="s">
        <v>9</v>
      </c>
      <c r="G323" s="2" t="s">
        <v>3107</v>
      </c>
      <c r="H323" s="2"/>
      <c r="I323" s="2" t="s">
        <v>3108</v>
      </c>
      <c r="J323" s="2" t="s">
        <v>9</v>
      </c>
      <c r="K323" s="2"/>
      <c r="L323" s="2" t="s">
        <v>22</v>
      </c>
      <c r="M323" s="2" t="s">
        <v>33</v>
      </c>
      <c r="N323" s="2" t="s">
        <v>13</v>
      </c>
      <c r="O323" s="2" t="s">
        <v>9</v>
      </c>
    </row>
    <row r="324" ht="43.2" spans="1:15">
      <c r="A324" s="2" t="s">
        <v>3109</v>
      </c>
      <c r="B324" s="2" t="s">
        <v>3092</v>
      </c>
      <c r="C324" s="2" t="s">
        <v>9</v>
      </c>
      <c r="D324" s="2" t="s">
        <v>3110</v>
      </c>
      <c r="E324" s="2" t="s">
        <v>3110</v>
      </c>
      <c r="F324" s="2" t="s">
        <v>9</v>
      </c>
      <c r="G324" s="2" t="s">
        <v>3111</v>
      </c>
      <c r="H324" s="2"/>
      <c r="I324" s="2" t="s">
        <v>3112</v>
      </c>
      <c r="J324" s="2" t="s">
        <v>9</v>
      </c>
      <c r="K324" s="2"/>
      <c r="L324" s="2" t="s">
        <v>22</v>
      </c>
      <c r="M324" s="2" t="s">
        <v>33</v>
      </c>
      <c r="N324" s="2" t="s">
        <v>13</v>
      </c>
      <c r="O324" s="2" t="s">
        <v>9</v>
      </c>
    </row>
    <row r="325" ht="43.2" spans="1:15">
      <c r="A325" s="2" t="s">
        <v>3113</v>
      </c>
      <c r="B325" s="2" t="s">
        <v>3092</v>
      </c>
      <c r="C325" s="2" t="s">
        <v>9</v>
      </c>
      <c r="D325" s="2" t="s">
        <v>3114</v>
      </c>
      <c r="E325" s="2" t="s">
        <v>3114</v>
      </c>
      <c r="F325" s="2" t="s">
        <v>9</v>
      </c>
      <c r="G325" s="2" t="s">
        <v>3115</v>
      </c>
      <c r="H325" s="2"/>
      <c r="I325" s="2" t="s">
        <v>3116</v>
      </c>
      <c r="J325" s="2" t="s">
        <v>9</v>
      </c>
      <c r="K325" s="2"/>
      <c r="L325" s="2" t="s">
        <v>22</v>
      </c>
      <c r="M325" s="2" t="s">
        <v>33</v>
      </c>
      <c r="N325" s="2" t="s">
        <v>13</v>
      </c>
      <c r="O325" s="2" t="s">
        <v>9</v>
      </c>
    </row>
    <row r="326" ht="43.2" spans="1:15">
      <c r="A326" s="2" t="s">
        <v>3117</v>
      </c>
      <c r="B326" s="2" t="s">
        <v>3092</v>
      </c>
      <c r="C326" s="2" t="s">
        <v>9</v>
      </c>
      <c r="D326" s="2" t="s">
        <v>3118</v>
      </c>
      <c r="E326" s="2" t="s">
        <v>3118</v>
      </c>
      <c r="F326" s="2" t="s">
        <v>9</v>
      </c>
      <c r="G326" s="2" t="s">
        <v>3119</v>
      </c>
      <c r="H326" s="2"/>
      <c r="I326" s="2" t="s">
        <v>3120</v>
      </c>
      <c r="J326" s="2" t="s">
        <v>9</v>
      </c>
      <c r="K326" s="2"/>
      <c r="L326" s="2" t="s">
        <v>22</v>
      </c>
      <c r="M326" s="2" t="s">
        <v>33</v>
      </c>
      <c r="N326" s="2" t="s">
        <v>13</v>
      </c>
      <c r="O326" s="2" t="s">
        <v>9</v>
      </c>
    </row>
    <row r="327" ht="43.2" spans="1:15">
      <c r="A327" s="2" t="s">
        <v>3121</v>
      </c>
      <c r="B327" s="2" t="s">
        <v>3092</v>
      </c>
      <c r="C327" s="2" t="s">
        <v>9</v>
      </c>
      <c r="D327" s="2" t="s">
        <v>3122</v>
      </c>
      <c r="E327" s="2" t="s">
        <v>3122</v>
      </c>
      <c r="F327" s="2" t="s">
        <v>9</v>
      </c>
      <c r="G327" s="2" t="s">
        <v>3123</v>
      </c>
      <c r="H327" s="2"/>
      <c r="I327" s="2" t="s">
        <v>3124</v>
      </c>
      <c r="J327" s="2" t="s">
        <v>9</v>
      </c>
      <c r="K327" s="2"/>
      <c r="L327" s="2" t="s">
        <v>22</v>
      </c>
      <c r="M327" s="2" t="s">
        <v>33</v>
      </c>
      <c r="N327" s="2" t="s">
        <v>13</v>
      </c>
      <c r="O327" s="2" t="s">
        <v>9</v>
      </c>
    </row>
    <row r="328" ht="43.2" spans="1:15">
      <c r="A328" s="2" t="s">
        <v>3125</v>
      </c>
      <c r="B328" s="2" t="s">
        <v>3092</v>
      </c>
      <c r="C328" s="2" t="s">
        <v>9</v>
      </c>
      <c r="D328" s="2" t="s">
        <v>3126</v>
      </c>
      <c r="E328" s="2" t="s">
        <v>3126</v>
      </c>
      <c r="F328" s="2" t="s">
        <v>9</v>
      </c>
      <c r="G328" s="2" t="s">
        <v>3127</v>
      </c>
      <c r="H328" s="2"/>
      <c r="I328" s="2" t="s">
        <v>3128</v>
      </c>
      <c r="J328" s="2" t="s">
        <v>9</v>
      </c>
      <c r="K328" s="2"/>
      <c r="L328" s="2" t="s">
        <v>22</v>
      </c>
      <c r="M328" s="2" t="s">
        <v>33</v>
      </c>
      <c r="N328" s="2" t="s">
        <v>13</v>
      </c>
      <c r="O328" s="2" t="s">
        <v>9</v>
      </c>
    </row>
    <row r="329" ht="43.2" spans="1:15">
      <c r="A329" s="2" t="s">
        <v>3129</v>
      </c>
      <c r="B329" s="2" t="s">
        <v>3092</v>
      </c>
      <c r="C329" s="2" t="s">
        <v>9</v>
      </c>
      <c r="D329" s="2" t="s">
        <v>3130</v>
      </c>
      <c r="E329" s="2" t="s">
        <v>3130</v>
      </c>
      <c r="F329" s="2" t="s">
        <v>9</v>
      </c>
      <c r="G329" s="2" t="s">
        <v>3131</v>
      </c>
      <c r="H329" s="2"/>
      <c r="I329" s="2" t="s">
        <v>3132</v>
      </c>
      <c r="J329" s="2" t="s">
        <v>9</v>
      </c>
      <c r="K329" s="2"/>
      <c r="L329" s="2" t="s">
        <v>22</v>
      </c>
      <c r="M329" s="2" t="s">
        <v>33</v>
      </c>
      <c r="N329" s="2" t="s">
        <v>13</v>
      </c>
      <c r="O329" s="2" t="s">
        <v>9</v>
      </c>
    </row>
    <row r="330" ht="28.8" spans="1:15">
      <c r="A330" s="2" t="s">
        <v>2465</v>
      </c>
      <c r="B330" s="2" t="s">
        <v>3133</v>
      </c>
      <c r="C330" s="2" t="s">
        <v>9</v>
      </c>
      <c r="D330" s="2" t="s">
        <v>3134</v>
      </c>
      <c r="E330" s="2" t="s">
        <v>3134</v>
      </c>
      <c r="F330" s="2" t="s">
        <v>9</v>
      </c>
      <c r="G330" s="2" t="s">
        <v>3135</v>
      </c>
      <c r="H330" s="2"/>
      <c r="I330" s="2" t="s">
        <v>3136</v>
      </c>
      <c r="J330" s="2" t="s">
        <v>9</v>
      </c>
      <c r="K330" s="2"/>
      <c r="L330" s="2" t="s">
        <v>22</v>
      </c>
      <c r="M330" s="2" t="s">
        <v>33</v>
      </c>
      <c r="N330" s="2" t="s">
        <v>13</v>
      </c>
      <c r="O330" s="2" t="s">
        <v>9</v>
      </c>
    </row>
    <row r="331" ht="28.8" spans="1:15">
      <c r="A331" s="2" t="s">
        <v>2484</v>
      </c>
      <c r="B331" s="2" t="s">
        <v>3133</v>
      </c>
      <c r="C331" s="2" t="s">
        <v>9</v>
      </c>
      <c r="D331" s="2" t="s">
        <v>3137</v>
      </c>
      <c r="E331" s="2" t="s">
        <v>3137</v>
      </c>
      <c r="F331" s="2" t="s">
        <v>9</v>
      </c>
      <c r="G331" s="2" t="s">
        <v>3138</v>
      </c>
      <c r="H331" s="2"/>
      <c r="I331" s="2" t="s">
        <v>3139</v>
      </c>
      <c r="J331" s="2" t="s">
        <v>9</v>
      </c>
      <c r="K331" s="2"/>
      <c r="L331" s="2" t="s">
        <v>22</v>
      </c>
      <c r="M331" s="2" t="s">
        <v>33</v>
      </c>
      <c r="N331" s="2" t="s">
        <v>13</v>
      </c>
      <c r="O331" s="2" t="s">
        <v>9</v>
      </c>
    </row>
    <row r="332" ht="28.8" spans="1:15">
      <c r="A332" s="2" t="s">
        <v>2505</v>
      </c>
      <c r="B332" s="2" t="s">
        <v>3133</v>
      </c>
      <c r="C332" s="2" t="s">
        <v>9</v>
      </c>
      <c r="D332" s="2" t="s">
        <v>3140</v>
      </c>
      <c r="E332" s="2" t="s">
        <v>3140</v>
      </c>
      <c r="F332" s="2" t="s">
        <v>9</v>
      </c>
      <c r="G332" s="2" t="s">
        <v>3141</v>
      </c>
      <c r="H332" s="2"/>
      <c r="I332" s="2" t="s">
        <v>3142</v>
      </c>
      <c r="J332" s="2" t="s">
        <v>9</v>
      </c>
      <c r="K332" s="2"/>
      <c r="L332" s="2" t="s">
        <v>22</v>
      </c>
      <c r="M332" s="2" t="s">
        <v>33</v>
      </c>
      <c r="N332" s="2" t="s">
        <v>13</v>
      </c>
      <c r="O332" s="2" t="s">
        <v>9</v>
      </c>
    </row>
    <row r="333" ht="28.8" spans="1:15">
      <c r="A333" s="2" t="s">
        <v>2537</v>
      </c>
      <c r="B333" s="2" t="s">
        <v>3133</v>
      </c>
      <c r="C333" s="2" t="s">
        <v>9</v>
      </c>
      <c r="D333" s="2" t="s">
        <v>3143</v>
      </c>
      <c r="E333" s="2" t="s">
        <v>3143</v>
      </c>
      <c r="F333" s="2" t="s">
        <v>9</v>
      </c>
      <c r="G333" s="2" t="s">
        <v>3144</v>
      </c>
      <c r="H333" s="2"/>
      <c r="I333" s="2" t="s">
        <v>3145</v>
      </c>
      <c r="J333" s="2" t="s">
        <v>9</v>
      </c>
      <c r="K333" s="2"/>
      <c r="L333" s="2" t="s">
        <v>22</v>
      </c>
      <c r="M333" s="2" t="s">
        <v>33</v>
      </c>
      <c r="N333" s="2" t="s">
        <v>13</v>
      </c>
      <c r="O333" s="2" t="s">
        <v>9</v>
      </c>
    </row>
    <row r="334" ht="28.8" spans="1:15">
      <c r="A334" s="2" t="s">
        <v>3146</v>
      </c>
      <c r="B334" s="2" t="s">
        <v>3133</v>
      </c>
      <c r="C334" s="2" t="s">
        <v>9</v>
      </c>
      <c r="D334" s="2" t="s">
        <v>3147</v>
      </c>
      <c r="E334" s="2" t="s">
        <v>3147</v>
      </c>
      <c r="F334" s="2" t="s">
        <v>9</v>
      </c>
      <c r="G334" s="2" t="s">
        <v>3148</v>
      </c>
      <c r="H334" s="2"/>
      <c r="I334" s="2" t="s">
        <v>3149</v>
      </c>
      <c r="J334" s="2" t="s">
        <v>9</v>
      </c>
      <c r="K334" s="2"/>
      <c r="L334" s="2" t="s">
        <v>23</v>
      </c>
      <c r="M334" s="2" t="s">
        <v>33</v>
      </c>
      <c r="N334" s="2" t="s">
        <v>13</v>
      </c>
      <c r="O334" s="2" t="s">
        <v>9</v>
      </c>
    </row>
    <row r="335" ht="28.8" spans="1:15">
      <c r="A335" s="2" t="s">
        <v>2556</v>
      </c>
      <c r="B335" s="2" t="s">
        <v>3133</v>
      </c>
      <c r="C335" s="2" t="s">
        <v>9</v>
      </c>
      <c r="D335" s="2" t="s">
        <v>3150</v>
      </c>
      <c r="E335" s="2" t="s">
        <v>3150</v>
      </c>
      <c r="F335" s="2" t="s">
        <v>9</v>
      </c>
      <c r="G335" s="2" t="s">
        <v>3151</v>
      </c>
      <c r="H335" s="2"/>
      <c r="I335" s="2" t="s">
        <v>3152</v>
      </c>
      <c r="J335" s="2" t="s">
        <v>9</v>
      </c>
      <c r="K335" s="2"/>
      <c r="L335" s="2" t="s">
        <v>22</v>
      </c>
      <c r="M335" s="2" t="s">
        <v>33</v>
      </c>
      <c r="N335" s="2" t="s">
        <v>13</v>
      </c>
      <c r="O335" s="2" t="s">
        <v>9</v>
      </c>
    </row>
    <row r="336" ht="28.8" spans="1:15">
      <c r="A336" s="2" t="s">
        <v>2569</v>
      </c>
      <c r="B336" s="2" t="s">
        <v>3133</v>
      </c>
      <c r="C336" s="2" t="s">
        <v>9</v>
      </c>
      <c r="D336" s="2" t="s">
        <v>3153</v>
      </c>
      <c r="E336" s="2" t="s">
        <v>3153</v>
      </c>
      <c r="F336" s="2" t="s">
        <v>9</v>
      </c>
      <c r="G336" s="2" t="s">
        <v>3154</v>
      </c>
      <c r="H336" s="2"/>
      <c r="I336" s="2" t="s">
        <v>3155</v>
      </c>
      <c r="J336" s="2" t="s">
        <v>9</v>
      </c>
      <c r="K336" s="2"/>
      <c r="L336" s="2" t="s">
        <v>22</v>
      </c>
      <c r="M336" s="2" t="s">
        <v>33</v>
      </c>
      <c r="N336" s="2" t="s">
        <v>13</v>
      </c>
      <c r="O336" s="2" t="s">
        <v>9</v>
      </c>
    </row>
    <row r="337" ht="28.8" spans="1:15">
      <c r="A337" s="2" t="s">
        <v>2594</v>
      </c>
      <c r="B337" s="2" t="s">
        <v>3133</v>
      </c>
      <c r="C337" s="2" t="s">
        <v>9</v>
      </c>
      <c r="D337" s="2" t="s">
        <v>3156</v>
      </c>
      <c r="E337" s="2" t="s">
        <v>3156</v>
      </c>
      <c r="F337" s="2" t="s">
        <v>9</v>
      </c>
      <c r="G337" s="2" t="s">
        <v>3157</v>
      </c>
      <c r="H337" s="2"/>
      <c r="I337" s="2" t="s">
        <v>3158</v>
      </c>
      <c r="J337" s="2" t="s">
        <v>9</v>
      </c>
      <c r="K337" s="2"/>
      <c r="L337" s="2" t="s">
        <v>22</v>
      </c>
      <c r="M337" s="2" t="s">
        <v>33</v>
      </c>
      <c r="N337" s="2" t="s">
        <v>13</v>
      </c>
      <c r="O337" s="2" t="s">
        <v>9</v>
      </c>
    </row>
    <row r="338" ht="28.8" spans="1:15">
      <c r="A338" s="2" t="s">
        <v>3159</v>
      </c>
      <c r="B338" s="2" t="s">
        <v>3160</v>
      </c>
      <c r="C338" s="2" t="s">
        <v>9</v>
      </c>
      <c r="D338" s="2" t="s">
        <v>3161</v>
      </c>
      <c r="E338" s="2" t="s">
        <v>3161</v>
      </c>
      <c r="F338" s="2" t="s">
        <v>9</v>
      </c>
      <c r="G338" s="2" t="s">
        <v>3162</v>
      </c>
      <c r="H338" s="2"/>
      <c r="I338" s="2" t="s">
        <v>3163</v>
      </c>
      <c r="J338" s="2" t="s">
        <v>9</v>
      </c>
      <c r="K338" s="2"/>
      <c r="L338" s="2" t="s">
        <v>22</v>
      </c>
      <c r="M338" s="2" t="s">
        <v>33</v>
      </c>
      <c r="N338" s="2" t="s">
        <v>13</v>
      </c>
      <c r="O338" s="2" t="s">
        <v>9</v>
      </c>
    </row>
    <row r="339" ht="28.8" spans="1:15">
      <c r="A339" s="2" t="s">
        <v>3164</v>
      </c>
      <c r="B339" s="2" t="s">
        <v>3160</v>
      </c>
      <c r="C339" s="2" t="s">
        <v>9</v>
      </c>
      <c r="D339" s="2" t="s">
        <v>3165</v>
      </c>
      <c r="E339" s="2" t="s">
        <v>3165</v>
      </c>
      <c r="F339" s="2" t="s">
        <v>9</v>
      </c>
      <c r="G339" s="2" t="s">
        <v>3166</v>
      </c>
      <c r="H339" s="2"/>
      <c r="I339" s="2" t="s">
        <v>3167</v>
      </c>
      <c r="J339" s="2" t="s">
        <v>9</v>
      </c>
      <c r="K339" s="2"/>
      <c r="L339" s="2" t="s">
        <v>23</v>
      </c>
      <c r="M339" s="2" t="s">
        <v>33</v>
      </c>
      <c r="N339" s="2" t="s">
        <v>13</v>
      </c>
      <c r="O339" s="2" t="s">
        <v>9</v>
      </c>
    </row>
    <row r="340" ht="43.2" spans="1:15">
      <c r="A340" s="2" t="s">
        <v>3168</v>
      </c>
      <c r="B340" s="2" t="s">
        <v>3160</v>
      </c>
      <c r="C340" s="2" t="s">
        <v>9</v>
      </c>
      <c r="D340" s="2" t="s">
        <v>3169</v>
      </c>
      <c r="E340" s="2" t="s">
        <v>3169</v>
      </c>
      <c r="F340" s="2" t="s">
        <v>9</v>
      </c>
      <c r="G340" s="2" t="s">
        <v>3170</v>
      </c>
      <c r="H340" s="2"/>
      <c r="I340" s="2" t="s">
        <v>3171</v>
      </c>
      <c r="J340" s="2" t="s">
        <v>9</v>
      </c>
      <c r="K340" s="2"/>
      <c r="L340" s="2" t="s">
        <v>23</v>
      </c>
      <c r="M340" s="2" t="s">
        <v>33</v>
      </c>
      <c r="N340" s="2" t="s">
        <v>13</v>
      </c>
      <c r="O340" s="2" t="s">
        <v>9</v>
      </c>
    </row>
    <row r="341" ht="28.8" spans="1:15">
      <c r="A341" s="2" t="s">
        <v>3172</v>
      </c>
      <c r="B341" s="2" t="s">
        <v>3160</v>
      </c>
      <c r="C341" s="2" t="s">
        <v>9</v>
      </c>
      <c r="D341" s="2" t="s">
        <v>3173</v>
      </c>
      <c r="E341" s="2" t="s">
        <v>3173</v>
      </c>
      <c r="F341" s="2" t="s">
        <v>9</v>
      </c>
      <c r="G341" s="2" t="s">
        <v>3174</v>
      </c>
      <c r="H341" s="2"/>
      <c r="I341" s="2" t="s">
        <v>3175</v>
      </c>
      <c r="J341" s="2" t="s">
        <v>9</v>
      </c>
      <c r="K341" s="2"/>
      <c r="L341" s="2" t="s">
        <v>22</v>
      </c>
      <c r="M341" s="2" t="s">
        <v>33</v>
      </c>
      <c r="N341" s="2" t="s">
        <v>13</v>
      </c>
      <c r="O341" s="2" t="s">
        <v>9</v>
      </c>
    </row>
    <row r="342" ht="28.8" spans="1:15">
      <c r="A342" s="2" t="s">
        <v>3176</v>
      </c>
      <c r="B342" s="2" t="s">
        <v>3160</v>
      </c>
      <c r="C342" s="2" t="s">
        <v>9</v>
      </c>
      <c r="D342" s="2" t="s">
        <v>3177</v>
      </c>
      <c r="E342" s="2" t="s">
        <v>3177</v>
      </c>
      <c r="F342" s="2" t="s">
        <v>9</v>
      </c>
      <c r="G342" s="2" t="s">
        <v>3178</v>
      </c>
      <c r="H342" s="2"/>
      <c r="I342" s="2" t="s">
        <v>3179</v>
      </c>
      <c r="J342" s="2" t="s">
        <v>9</v>
      </c>
      <c r="K342" s="2"/>
      <c r="L342" s="2" t="s">
        <v>22</v>
      </c>
      <c r="M342" s="2" t="s">
        <v>33</v>
      </c>
      <c r="N342" s="2" t="s">
        <v>13</v>
      </c>
      <c r="O342" s="2" t="s">
        <v>9</v>
      </c>
    </row>
    <row r="343" ht="28.8" spans="1:15">
      <c r="A343" s="2" t="s">
        <v>3180</v>
      </c>
      <c r="B343" s="2" t="s">
        <v>3160</v>
      </c>
      <c r="C343" s="2" t="s">
        <v>9</v>
      </c>
      <c r="D343" s="2" t="s">
        <v>3181</v>
      </c>
      <c r="E343" s="2" t="s">
        <v>3181</v>
      </c>
      <c r="F343" s="2" t="s">
        <v>9</v>
      </c>
      <c r="G343" s="2" t="s">
        <v>3182</v>
      </c>
      <c r="H343" s="2"/>
      <c r="I343" s="2" t="s">
        <v>3183</v>
      </c>
      <c r="J343" s="2" t="s">
        <v>9</v>
      </c>
      <c r="K343" s="2"/>
      <c r="L343" s="2" t="s">
        <v>22</v>
      </c>
      <c r="M343" s="2" t="s">
        <v>33</v>
      </c>
      <c r="N343" s="2" t="s">
        <v>13</v>
      </c>
      <c r="O343" s="2" t="s">
        <v>9</v>
      </c>
    </row>
    <row r="344" ht="28.8" spans="1:15">
      <c r="A344" s="2" t="s">
        <v>3184</v>
      </c>
      <c r="B344" s="2" t="s">
        <v>3160</v>
      </c>
      <c r="C344" s="2" t="s">
        <v>9</v>
      </c>
      <c r="D344" s="2" t="s">
        <v>3185</v>
      </c>
      <c r="E344" s="2" t="s">
        <v>3185</v>
      </c>
      <c r="F344" s="2" t="s">
        <v>9</v>
      </c>
      <c r="G344" s="2" t="s">
        <v>3186</v>
      </c>
      <c r="H344" s="2"/>
      <c r="I344" s="2" t="s">
        <v>3187</v>
      </c>
      <c r="J344" s="2" t="s">
        <v>9</v>
      </c>
      <c r="K344" s="2"/>
      <c r="L344" s="2" t="s">
        <v>23</v>
      </c>
      <c r="M344" s="2" t="s">
        <v>33</v>
      </c>
      <c r="N344" s="2" t="s">
        <v>13</v>
      </c>
      <c r="O344" s="2" t="s">
        <v>9</v>
      </c>
    </row>
    <row r="345" ht="43.2" spans="1:15">
      <c r="A345" s="2" t="s">
        <v>3188</v>
      </c>
      <c r="B345" s="2" t="s">
        <v>3189</v>
      </c>
      <c r="C345" s="2" t="s">
        <v>9</v>
      </c>
      <c r="D345" s="2" t="s">
        <v>3190</v>
      </c>
      <c r="E345" s="2" t="s">
        <v>3190</v>
      </c>
      <c r="F345" s="2" t="s">
        <v>9</v>
      </c>
      <c r="G345" s="2" t="s">
        <v>3191</v>
      </c>
      <c r="H345" s="2" t="s">
        <v>830</v>
      </c>
      <c r="I345" s="2" t="s">
        <v>3192</v>
      </c>
      <c r="J345" s="2" t="s">
        <v>9</v>
      </c>
      <c r="K345" s="2"/>
      <c r="L345" s="2" t="s">
        <v>22</v>
      </c>
      <c r="M345" s="2" t="s">
        <v>33</v>
      </c>
      <c r="N345" s="2" t="s">
        <v>13</v>
      </c>
      <c r="O345" s="2" t="s">
        <v>9</v>
      </c>
    </row>
    <row r="346" ht="28.8" spans="1:15">
      <c r="A346" s="2" t="s">
        <v>3193</v>
      </c>
      <c r="B346" s="2" t="s">
        <v>3194</v>
      </c>
      <c r="C346" s="2" t="s">
        <v>9</v>
      </c>
      <c r="D346" s="2" t="s">
        <v>3195</v>
      </c>
      <c r="E346" s="2" t="s">
        <v>3195</v>
      </c>
      <c r="F346" s="2" t="s">
        <v>9</v>
      </c>
      <c r="G346" s="2" t="s">
        <v>3196</v>
      </c>
      <c r="H346" s="2" t="s">
        <v>830</v>
      </c>
      <c r="I346" s="2" t="s">
        <v>3197</v>
      </c>
      <c r="J346" s="2" t="s">
        <v>9</v>
      </c>
      <c r="K346" s="2"/>
      <c r="L346" s="2" t="s">
        <v>22</v>
      </c>
      <c r="M346" s="2" t="s">
        <v>33</v>
      </c>
      <c r="N346" s="2" t="s">
        <v>13</v>
      </c>
      <c r="O346" s="2" t="s">
        <v>9</v>
      </c>
    </row>
    <row r="347" ht="57.6" spans="1:15">
      <c r="A347" s="2" t="s">
        <v>3198</v>
      </c>
      <c r="B347" s="2" t="s">
        <v>3199</v>
      </c>
      <c r="C347" s="2" t="s">
        <v>9</v>
      </c>
      <c r="D347" s="2" t="s">
        <v>3200</v>
      </c>
      <c r="E347" s="2" t="s">
        <v>3200</v>
      </c>
      <c r="F347" s="2" t="s">
        <v>9</v>
      </c>
      <c r="G347" s="2" t="s">
        <v>3201</v>
      </c>
      <c r="H347" s="2" t="s">
        <v>3202</v>
      </c>
      <c r="I347" s="2" t="s">
        <v>3203</v>
      </c>
      <c r="J347" s="2" t="s">
        <v>9</v>
      </c>
      <c r="K347" s="2"/>
      <c r="L347" s="2" t="s">
        <v>22</v>
      </c>
      <c r="M347" s="2" t="s">
        <v>33</v>
      </c>
      <c r="N347" s="2" t="s">
        <v>13</v>
      </c>
      <c r="O347" s="2" t="s">
        <v>9</v>
      </c>
    </row>
    <row r="348" ht="28.8" spans="1:15">
      <c r="A348" s="2" t="s">
        <v>3204</v>
      </c>
      <c r="B348" s="2" t="s">
        <v>3205</v>
      </c>
      <c r="C348" s="2" t="s">
        <v>9</v>
      </c>
      <c r="D348" s="2" t="s">
        <v>3206</v>
      </c>
      <c r="E348" s="2" t="s">
        <v>3206</v>
      </c>
      <c r="F348" s="2" t="s">
        <v>9</v>
      </c>
      <c r="G348" s="2" t="s">
        <v>3207</v>
      </c>
      <c r="H348" s="2" t="s">
        <v>830</v>
      </c>
      <c r="I348" s="2" t="s">
        <v>3208</v>
      </c>
      <c r="J348" s="2" t="s">
        <v>9</v>
      </c>
      <c r="K348" s="2"/>
      <c r="L348" s="2" t="s">
        <v>22</v>
      </c>
      <c r="M348" s="2" t="s">
        <v>33</v>
      </c>
      <c r="N348" s="2" t="s">
        <v>13</v>
      </c>
      <c r="O348" s="2" t="s">
        <v>9</v>
      </c>
    </row>
    <row r="349" ht="43.2" spans="1:15">
      <c r="A349" s="2" t="s">
        <v>3209</v>
      </c>
      <c r="B349" s="2" t="s">
        <v>3210</v>
      </c>
      <c r="C349" s="2" t="s">
        <v>9</v>
      </c>
      <c r="D349" s="2" t="s">
        <v>3211</v>
      </c>
      <c r="E349" s="2" t="s">
        <v>3211</v>
      </c>
      <c r="F349" s="2" t="s">
        <v>9</v>
      </c>
      <c r="G349" s="2" t="s">
        <v>3212</v>
      </c>
      <c r="H349" s="2" t="s">
        <v>3213</v>
      </c>
      <c r="I349" s="2" t="s">
        <v>3214</v>
      </c>
      <c r="J349" s="2" t="s">
        <v>9</v>
      </c>
      <c r="K349" s="2"/>
      <c r="L349" s="2" t="s">
        <v>22</v>
      </c>
      <c r="M349" s="2" t="s">
        <v>33</v>
      </c>
      <c r="N349" s="2" t="s">
        <v>13</v>
      </c>
      <c r="O349" s="2" t="s">
        <v>9</v>
      </c>
    </row>
    <row r="350" ht="43.2" spans="1:15">
      <c r="A350" s="2" t="s">
        <v>3215</v>
      </c>
      <c r="B350" s="2" t="s">
        <v>3216</v>
      </c>
      <c r="C350" s="2" t="s">
        <v>9</v>
      </c>
      <c r="D350" s="2" t="s">
        <v>3217</v>
      </c>
      <c r="E350" s="2" t="s">
        <v>3217</v>
      </c>
      <c r="F350" s="2" t="s">
        <v>9</v>
      </c>
      <c r="G350" s="2" t="s">
        <v>3218</v>
      </c>
      <c r="H350" s="2" t="s">
        <v>3219</v>
      </c>
      <c r="I350" s="2" t="s">
        <v>3220</v>
      </c>
      <c r="J350" s="2" t="s">
        <v>9</v>
      </c>
      <c r="K350" s="2"/>
      <c r="L350" s="2" t="s">
        <v>22</v>
      </c>
      <c r="M350" s="2" t="s">
        <v>33</v>
      </c>
      <c r="N350" s="2" t="s">
        <v>13</v>
      </c>
      <c r="O350" s="2" t="s">
        <v>9</v>
      </c>
    </row>
    <row r="351" ht="43.2" spans="1:15">
      <c r="A351" s="2" t="s">
        <v>3221</v>
      </c>
      <c r="B351" s="2" t="s">
        <v>3222</v>
      </c>
      <c r="C351" s="2" t="s">
        <v>9</v>
      </c>
      <c r="D351" s="2" t="s">
        <v>3223</v>
      </c>
      <c r="E351" s="2" t="s">
        <v>3223</v>
      </c>
      <c r="F351" s="2" t="s">
        <v>9</v>
      </c>
      <c r="G351" s="2" t="s">
        <v>3224</v>
      </c>
      <c r="H351" s="2" t="s">
        <v>3225</v>
      </c>
      <c r="I351" s="2" t="s">
        <v>3226</v>
      </c>
      <c r="J351" s="2" t="s">
        <v>9</v>
      </c>
      <c r="K351" s="2"/>
      <c r="L351" s="2" t="s">
        <v>22</v>
      </c>
      <c r="M351" s="2" t="s">
        <v>33</v>
      </c>
      <c r="N351" s="2" t="s">
        <v>13</v>
      </c>
      <c r="O351" s="2" t="s">
        <v>9</v>
      </c>
    </row>
    <row r="352" ht="28.8" spans="1:15">
      <c r="A352" s="2" t="s">
        <v>3227</v>
      </c>
      <c r="B352" s="2" t="s">
        <v>3228</v>
      </c>
      <c r="C352" s="2" t="s">
        <v>9</v>
      </c>
      <c r="D352" s="2" t="s">
        <v>3229</v>
      </c>
      <c r="E352" s="2" t="s">
        <v>3229</v>
      </c>
      <c r="F352" s="2" t="s">
        <v>9</v>
      </c>
      <c r="G352" s="2" t="s">
        <v>3230</v>
      </c>
      <c r="H352" s="2" t="s">
        <v>3231</v>
      </c>
      <c r="I352" s="2" t="s">
        <v>3232</v>
      </c>
      <c r="J352" s="2" t="s">
        <v>9</v>
      </c>
      <c r="K352" s="2"/>
      <c r="L352" s="2" t="s">
        <v>22</v>
      </c>
      <c r="M352" s="2" t="s">
        <v>33</v>
      </c>
      <c r="N352" s="2" t="s">
        <v>13</v>
      </c>
      <c r="O352" s="2" t="s">
        <v>9</v>
      </c>
    </row>
    <row r="353" ht="57.6" spans="1:15">
      <c r="A353" s="2" t="s">
        <v>3233</v>
      </c>
      <c r="B353" s="2" t="s">
        <v>3234</v>
      </c>
      <c r="C353" s="2" t="s">
        <v>9</v>
      </c>
      <c r="D353" s="2" t="s">
        <v>3235</v>
      </c>
      <c r="E353" s="2" t="s">
        <v>3235</v>
      </c>
      <c r="F353" s="2" t="s">
        <v>9</v>
      </c>
      <c r="G353" s="2" t="s">
        <v>3236</v>
      </c>
      <c r="H353" s="2" t="s">
        <v>830</v>
      </c>
      <c r="I353" s="2" t="s">
        <v>3237</v>
      </c>
      <c r="J353" s="2" t="s">
        <v>9</v>
      </c>
      <c r="K353" s="2"/>
      <c r="L353" s="2" t="s">
        <v>22</v>
      </c>
      <c r="M353" s="2" t="s">
        <v>33</v>
      </c>
      <c r="N353" s="2" t="s">
        <v>13</v>
      </c>
      <c r="O353" s="2" t="s">
        <v>9</v>
      </c>
    </row>
    <row r="354" ht="43.2" spans="1:15">
      <c r="A354" s="2" t="s">
        <v>3238</v>
      </c>
      <c r="B354" s="2" t="s">
        <v>3239</v>
      </c>
      <c r="C354" s="2" t="s">
        <v>9</v>
      </c>
      <c r="D354" s="2" t="s">
        <v>3240</v>
      </c>
      <c r="E354" s="2" t="s">
        <v>3240</v>
      </c>
      <c r="F354" s="2" t="s">
        <v>9</v>
      </c>
      <c r="G354" s="2" t="s">
        <v>3241</v>
      </c>
      <c r="H354" s="2" t="s">
        <v>3242</v>
      </c>
      <c r="I354" s="2" t="s">
        <v>3243</v>
      </c>
      <c r="J354" s="2" t="s">
        <v>9</v>
      </c>
      <c r="K354" s="2"/>
      <c r="L354" s="2" t="s">
        <v>22</v>
      </c>
      <c r="M354" s="2" t="s">
        <v>33</v>
      </c>
      <c r="N354" s="2" t="s">
        <v>13</v>
      </c>
      <c r="O354" s="2" t="s">
        <v>9</v>
      </c>
    </row>
    <row r="355" ht="28.8" spans="1:15">
      <c r="A355" s="2" t="s">
        <v>3244</v>
      </c>
      <c r="B355" s="2" t="s">
        <v>3245</v>
      </c>
      <c r="C355" s="2" t="s">
        <v>9</v>
      </c>
      <c r="D355" s="2" t="s">
        <v>3246</v>
      </c>
      <c r="E355" s="2" t="s">
        <v>3246</v>
      </c>
      <c r="F355" s="2" t="s">
        <v>9</v>
      </c>
      <c r="G355" s="2" t="s">
        <v>3247</v>
      </c>
      <c r="H355" s="2" t="s">
        <v>3248</v>
      </c>
      <c r="I355" s="2" t="s">
        <v>3249</v>
      </c>
      <c r="J355" s="2" t="s">
        <v>9</v>
      </c>
      <c r="K355" s="2"/>
      <c r="L355" s="2" t="s">
        <v>22</v>
      </c>
      <c r="M355" s="2" t="s">
        <v>33</v>
      </c>
      <c r="N355" s="2" t="s">
        <v>13</v>
      </c>
      <c r="O355" s="2" t="s">
        <v>9</v>
      </c>
    </row>
    <row r="356" ht="28.8" spans="1:15">
      <c r="A356" s="2" t="s">
        <v>3250</v>
      </c>
      <c r="B356" s="2" t="s">
        <v>3251</v>
      </c>
      <c r="C356" s="2" t="s">
        <v>9</v>
      </c>
      <c r="D356" s="2" t="s">
        <v>3252</v>
      </c>
      <c r="E356" s="2" t="s">
        <v>3252</v>
      </c>
      <c r="F356" s="2" t="s">
        <v>9</v>
      </c>
      <c r="G356" s="2" t="s">
        <v>3253</v>
      </c>
      <c r="H356" s="2" t="s">
        <v>830</v>
      </c>
      <c r="I356" s="2" t="s">
        <v>3254</v>
      </c>
      <c r="J356" s="2" t="s">
        <v>9</v>
      </c>
      <c r="K356" s="2"/>
      <c r="L356" s="2" t="s">
        <v>22</v>
      </c>
      <c r="M356" s="2" t="s">
        <v>33</v>
      </c>
      <c r="N356" s="2" t="s">
        <v>13</v>
      </c>
      <c r="O356" s="2" t="s">
        <v>9</v>
      </c>
    </row>
    <row r="357" ht="43.2" spans="1:15">
      <c r="A357" s="2" t="s">
        <v>3255</v>
      </c>
      <c r="B357" s="2" t="s">
        <v>3256</v>
      </c>
      <c r="C357" s="2" t="s">
        <v>9</v>
      </c>
      <c r="D357" s="2" t="s">
        <v>3257</v>
      </c>
      <c r="E357" s="2" t="s">
        <v>3257</v>
      </c>
      <c r="F357" s="2" t="s">
        <v>9</v>
      </c>
      <c r="G357" s="2" t="s">
        <v>3258</v>
      </c>
      <c r="H357" s="2" t="s">
        <v>830</v>
      </c>
      <c r="I357" s="2" t="s">
        <v>3259</v>
      </c>
      <c r="J357" s="2" t="s">
        <v>9</v>
      </c>
      <c r="K357" s="2"/>
      <c r="L357" s="2" t="s">
        <v>22</v>
      </c>
      <c r="M357" s="2" t="s">
        <v>33</v>
      </c>
      <c r="N357" s="2" t="s">
        <v>13</v>
      </c>
      <c r="O357" s="2" t="s">
        <v>9</v>
      </c>
    </row>
    <row r="358" ht="43.2" spans="1:15">
      <c r="A358" s="2" t="s">
        <v>3260</v>
      </c>
      <c r="B358" s="2" t="s">
        <v>3261</v>
      </c>
      <c r="C358" s="2" t="s">
        <v>9</v>
      </c>
      <c r="D358" s="2" t="s">
        <v>3262</v>
      </c>
      <c r="E358" s="2" t="s">
        <v>3262</v>
      </c>
      <c r="F358" s="2" t="s">
        <v>9</v>
      </c>
      <c r="G358" s="2" t="s">
        <v>3263</v>
      </c>
      <c r="H358" s="2" t="s">
        <v>3264</v>
      </c>
      <c r="I358" s="2" t="s">
        <v>3265</v>
      </c>
      <c r="J358" s="2" t="s">
        <v>9</v>
      </c>
      <c r="K358" s="2"/>
      <c r="L358" s="2" t="s">
        <v>22</v>
      </c>
      <c r="M358" s="2" t="s">
        <v>33</v>
      </c>
      <c r="N358" s="2" t="s">
        <v>13</v>
      </c>
      <c r="O358" s="2" t="s">
        <v>9</v>
      </c>
    </row>
    <row r="359" ht="28.8" spans="1:15">
      <c r="A359" s="2" t="s">
        <v>3266</v>
      </c>
      <c r="B359" s="2" t="s">
        <v>3267</v>
      </c>
      <c r="C359" s="2" t="s">
        <v>9</v>
      </c>
      <c r="D359" s="2" t="s">
        <v>3268</v>
      </c>
      <c r="E359" s="2" t="s">
        <v>3268</v>
      </c>
      <c r="F359" s="2" t="s">
        <v>9</v>
      </c>
      <c r="G359" s="2" t="s">
        <v>3269</v>
      </c>
      <c r="H359" s="2" t="s">
        <v>3270</v>
      </c>
      <c r="I359" s="2" t="s">
        <v>3271</v>
      </c>
      <c r="J359" s="2" t="s">
        <v>9</v>
      </c>
      <c r="K359" s="2"/>
      <c r="L359" s="2" t="s">
        <v>22</v>
      </c>
      <c r="M359" s="2" t="s">
        <v>33</v>
      </c>
      <c r="N359" s="2" t="s">
        <v>13</v>
      </c>
      <c r="O359" s="2" t="s">
        <v>9</v>
      </c>
    </row>
    <row r="360" ht="57.6" spans="1:15">
      <c r="A360" s="2" t="s">
        <v>3272</v>
      </c>
      <c r="B360" s="2" t="s">
        <v>3273</v>
      </c>
      <c r="C360" s="2" t="s">
        <v>9</v>
      </c>
      <c r="D360" s="2" t="s">
        <v>3274</v>
      </c>
      <c r="E360" s="2" t="s">
        <v>3274</v>
      </c>
      <c r="F360" s="2" t="s">
        <v>9</v>
      </c>
      <c r="G360" s="2" t="s">
        <v>3275</v>
      </c>
      <c r="H360" s="2" t="s">
        <v>3276</v>
      </c>
      <c r="I360" s="2" t="s">
        <v>3277</v>
      </c>
      <c r="J360" s="2" t="s">
        <v>9</v>
      </c>
      <c r="K360" s="2"/>
      <c r="L360" s="2" t="s">
        <v>22</v>
      </c>
      <c r="M360" s="2" t="s">
        <v>33</v>
      </c>
      <c r="N360" s="2" t="s">
        <v>13</v>
      </c>
      <c r="O360" s="2" t="s">
        <v>9</v>
      </c>
    </row>
    <row r="361" ht="72" spans="1:15">
      <c r="A361" s="2" t="s">
        <v>3278</v>
      </c>
      <c r="B361" s="2" t="s">
        <v>3279</v>
      </c>
      <c r="C361" s="2" t="s">
        <v>9</v>
      </c>
      <c r="D361" s="2" t="s">
        <v>3280</v>
      </c>
      <c r="E361" s="2" t="s">
        <v>3280</v>
      </c>
      <c r="F361" s="2" t="s">
        <v>9</v>
      </c>
      <c r="G361" s="2" t="s">
        <v>3281</v>
      </c>
      <c r="H361" s="2" t="s">
        <v>3282</v>
      </c>
      <c r="I361" s="2" t="s">
        <v>3283</v>
      </c>
      <c r="J361" s="2" t="s">
        <v>9</v>
      </c>
      <c r="K361" s="2"/>
      <c r="L361" s="2" t="s">
        <v>22</v>
      </c>
      <c r="M361" s="2" t="s">
        <v>33</v>
      </c>
      <c r="N361" s="2" t="s">
        <v>13</v>
      </c>
      <c r="O361" s="2" t="s">
        <v>9</v>
      </c>
    </row>
    <row r="362" ht="43.2" spans="1:15">
      <c r="A362" s="2" t="s">
        <v>3284</v>
      </c>
      <c r="B362" s="2" t="s">
        <v>3285</v>
      </c>
      <c r="C362" s="2" t="s">
        <v>9</v>
      </c>
      <c r="D362" s="2" t="s">
        <v>3286</v>
      </c>
      <c r="E362" s="2" t="s">
        <v>3286</v>
      </c>
      <c r="F362" s="2" t="s">
        <v>9</v>
      </c>
      <c r="G362" s="2" t="s">
        <v>3287</v>
      </c>
      <c r="H362" s="2" t="s">
        <v>3288</v>
      </c>
      <c r="I362" s="2" t="s">
        <v>3289</v>
      </c>
      <c r="J362" s="2" t="s">
        <v>9</v>
      </c>
      <c r="K362" s="2"/>
      <c r="L362" s="2" t="s">
        <v>22</v>
      </c>
      <c r="M362" s="2" t="s">
        <v>33</v>
      </c>
      <c r="N362" s="2" t="s">
        <v>13</v>
      </c>
      <c r="O362" s="2" t="s">
        <v>9</v>
      </c>
    </row>
    <row r="363" ht="43.2" spans="1:15">
      <c r="A363" s="2" t="s">
        <v>3290</v>
      </c>
      <c r="B363" s="2" t="s">
        <v>3291</v>
      </c>
      <c r="C363" s="2" t="s">
        <v>9</v>
      </c>
      <c r="D363" s="2" t="s">
        <v>3292</v>
      </c>
      <c r="E363" s="2" t="s">
        <v>3292</v>
      </c>
      <c r="F363" s="2" t="s">
        <v>9</v>
      </c>
      <c r="G363" s="2" t="s">
        <v>3293</v>
      </c>
      <c r="H363" s="2" t="s">
        <v>830</v>
      </c>
      <c r="I363" s="2" t="s">
        <v>3294</v>
      </c>
      <c r="J363" s="2" t="s">
        <v>9</v>
      </c>
      <c r="K363" s="2"/>
      <c r="L363" s="2" t="s">
        <v>22</v>
      </c>
      <c r="M363" s="2" t="s">
        <v>33</v>
      </c>
      <c r="N363" s="2" t="s">
        <v>13</v>
      </c>
      <c r="O363" s="2" t="s">
        <v>9</v>
      </c>
    </row>
    <row r="364" ht="57.6" spans="1:15">
      <c r="A364" s="2" t="s">
        <v>3295</v>
      </c>
      <c r="B364" s="2" t="s">
        <v>3296</v>
      </c>
      <c r="C364" s="2" t="s">
        <v>9</v>
      </c>
      <c r="D364" s="2" t="s">
        <v>3297</v>
      </c>
      <c r="E364" s="2" t="s">
        <v>3297</v>
      </c>
      <c r="F364" s="2" t="s">
        <v>9</v>
      </c>
      <c r="G364" s="2" t="s">
        <v>3298</v>
      </c>
      <c r="H364" s="2" t="s">
        <v>3299</v>
      </c>
      <c r="I364" s="2" t="s">
        <v>3300</v>
      </c>
      <c r="J364" s="2" t="s">
        <v>9</v>
      </c>
      <c r="K364" s="2"/>
      <c r="L364" s="2" t="s">
        <v>22</v>
      </c>
      <c r="M364" s="2" t="s">
        <v>33</v>
      </c>
      <c r="N364" s="2" t="s">
        <v>13</v>
      </c>
      <c r="O364" s="2" t="s">
        <v>9</v>
      </c>
    </row>
    <row r="365" ht="43.2" spans="1:15">
      <c r="A365" s="2" t="s">
        <v>3301</v>
      </c>
      <c r="B365" s="2" t="s">
        <v>3302</v>
      </c>
      <c r="C365" s="2" t="s">
        <v>9</v>
      </c>
      <c r="D365" s="2" t="s">
        <v>3303</v>
      </c>
      <c r="E365" s="2" t="s">
        <v>3303</v>
      </c>
      <c r="F365" s="2" t="s">
        <v>9</v>
      </c>
      <c r="G365" s="2" t="s">
        <v>3304</v>
      </c>
      <c r="H365" s="2" t="s">
        <v>3305</v>
      </c>
      <c r="I365" s="2" t="s">
        <v>3306</v>
      </c>
      <c r="J365" s="2" t="s">
        <v>9</v>
      </c>
      <c r="K365" s="2"/>
      <c r="L365" s="2" t="s">
        <v>22</v>
      </c>
      <c r="M365" s="2" t="s">
        <v>33</v>
      </c>
      <c r="N365" s="2" t="s">
        <v>13</v>
      </c>
      <c r="O365" s="2" t="s">
        <v>9</v>
      </c>
    </row>
    <row r="366" ht="43.2" spans="1:15">
      <c r="A366" s="2" t="s">
        <v>3307</v>
      </c>
      <c r="B366" s="2" t="s">
        <v>3308</v>
      </c>
      <c r="C366" s="2" t="s">
        <v>9</v>
      </c>
      <c r="D366" s="2" t="s">
        <v>3309</v>
      </c>
      <c r="E366" s="2" t="s">
        <v>3309</v>
      </c>
      <c r="F366" s="2" t="s">
        <v>9</v>
      </c>
      <c r="G366" s="2" t="s">
        <v>3310</v>
      </c>
      <c r="H366" s="2" t="s">
        <v>3311</v>
      </c>
      <c r="I366" s="2" t="s">
        <v>3312</v>
      </c>
      <c r="J366" s="2" t="s">
        <v>9</v>
      </c>
      <c r="K366" s="2"/>
      <c r="L366" s="2" t="s">
        <v>22</v>
      </c>
      <c r="M366" s="2" t="s">
        <v>33</v>
      </c>
      <c r="N366" s="2" t="s">
        <v>13</v>
      </c>
      <c r="O366" s="2" t="s">
        <v>9</v>
      </c>
    </row>
    <row r="367" ht="57.6" spans="1:15">
      <c r="A367" s="2" t="s">
        <v>3313</v>
      </c>
      <c r="B367" s="2" t="s">
        <v>3314</v>
      </c>
      <c r="C367" s="2" t="s">
        <v>9</v>
      </c>
      <c r="D367" s="2" t="s">
        <v>3315</v>
      </c>
      <c r="E367" s="2" t="s">
        <v>3315</v>
      </c>
      <c r="F367" s="2" t="s">
        <v>9</v>
      </c>
      <c r="G367" s="2" t="s">
        <v>3316</v>
      </c>
      <c r="H367" s="2" t="s">
        <v>830</v>
      </c>
      <c r="I367" s="2" t="s">
        <v>3317</v>
      </c>
      <c r="J367" s="2" t="s">
        <v>9</v>
      </c>
      <c r="K367" s="2"/>
      <c r="L367" s="2" t="s">
        <v>22</v>
      </c>
      <c r="M367" s="2" t="s">
        <v>33</v>
      </c>
      <c r="N367" s="2" t="s">
        <v>13</v>
      </c>
      <c r="O367" s="2" t="s">
        <v>9</v>
      </c>
    </row>
    <row r="368" ht="43.2" spans="1:15">
      <c r="A368" s="2" t="s">
        <v>3318</v>
      </c>
      <c r="B368" s="2" t="s">
        <v>3319</v>
      </c>
      <c r="C368" s="2" t="s">
        <v>9</v>
      </c>
      <c r="D368" s="2" t="s">
        <v>3320</v>
      </c>
      <c r="E368" s="2" t="s">
        <v>3320</v>
      </c>
      <c r="F368" s="2" t="s">
        <v>9</v>
      </c>
      <c r="G368" s="2" t="s">
        <v>3321</v>
      </c>
      <c r="H368" s="2" t="s">
        <v>3322</v>
      </c>
      <c r="I368" s="2" t="s">
        <v>3323</v>
      </c>
      <c r="J368" s="2" t="s">
        <v>9</v>
      </c>
      <c r="K368" s="2"/>
      <c r="L368" s="2" t="s">
        <v>22</v>
      </c>
      <c r="M368" s="2" t="s">
        <v>33</v>
      </c>
      <c r="N368" s="2" t="s">
        <v>13</v>
      </c>
      <c r="O368" s="2" t="s">
        <v>9</v>
      </c>
    </row>
  </sheetData>
  <conditionalFormatting sqref="L2:L368">
    <cfRule type="cellIs" dxfId="0" priority="1" operator="equal">
      <formula>"Passed"</formula>
    </cfRule>
    <cfRule type="cellIs" dxfId="1" priority="2" operator="equal">
      <formula>"Failed"</formula>
    </cfRule>
    <cfRule type="cellIs" dxfId="2" priority="3" operator="equal">
      <formula>"Blocked"</formula>
    </cfRule>
    <cfRule type="cellIs" dxfId="3" priority="4" operator="equal">
      <formula>"Not_Executed"</formula>
    </cfRule>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5"/>
  <sheetViews>
    <sheetView workbookViewId="0">
      <pane ySplit="1" topLeftCell="A2" activePane="bottomLeft" state="frozen"/>
      <selection/>
      <selection pane="bottomLeft" activeCell="A1" sqref="A1"/>
    </sheetView>
  </sheetViews>
  <sheetFormatPr defaultColWidth="9" defaultRowHeight="14.4"/>
  <cols>
    <col min="1" max="1" width="12" customWidth="1"/>
    <col min="2" max="2" width="22" customWidth="1"/>
    <col min="3" max="3" width="45" customWidth="1"/>
    <col min="4" max="4" width="15" customWidth="1"/>
    <col min="5" max="5" width="18" customWidth="1"/>
    <col min="6" max="7" width="12" customWidth="1"/>
    <col min="8" max="8" width="20" customWidth="1"/>
    <col min="9" max="9" width="18" customWidth="1"/>
    <col min="10" max="10" width="20" customWidth="1"/>
    <col min="11" max="11" width="45" customWidth="1"/>
    <col min="12" max="12" width="40" customWidth="1"/>
    <col min="13" max="14" width="35" customWidth="1"/>
    <col min="15" max="15" width="12" customWidth="1"/>
    <col min="16" max="17" width="15" customWidth="1"/>
    <col min="18" max="18" width="14" customWidth="1"/>
    <col min="19" max="19" width="30" customWidth="1"/>
  </cols>
  <sheetData>
    <row r="1" ht="30" customHeight="1" spans="1:19">
      <c r="A1" s="1" t="s">
        <v>3324</v>
      </c>
      <c r="B1" s="1" t="s">
        <v>3325</v>
      </c>
      <c r="C1" s="1" t="s">
        <v>3326</v>
      </c>
      <c r="D1" s="1" t="s">
        <v>3327</v>
      </c>
      <c r="E1" s="1" t="s">
        <v>3328</v>
      </c>
      <c r="F1" s="1" t="s">
        <v>3329</v>
      </c>
      <c r="G1" s="1" t="s">
        <v>49</v>
      </c>
      <c r="H1" s="1" t="s">
        <v>3330</v>
      </c>
      <c r="I1" s="1" t="s">
        <v>814</v>
      </c>
      <c r="J1" s="1" t="s">
        <v>3331</v>
      </c>
      <c r="K1" s="1" t="s">
        <v>47</v>
      </c>
      <c r="L1" s="1" t="s">
        <v>3332</v>
      </c>
      <c r="M1" s="1" t="s">
        <v>820</v>
      </c>
      <c r="N1" s="1" t="s">
        <v>822</v>
      </c>
      <c r="O1" s="1" t="s">
        <v>50</v>
      </c>
      <c r="P1" s="1" t="s">
        <v>3333</v>
      </c>
      <c r="Q1" s="1" t="s">
        <v>3334</v>
      </c>
      <c r="R1" s="1" t="s">
        <v>3335</v>
      </c>
      <c r="S1" s="1" t="s">
        <v>3336</v>
      </c>
    </row>
    <row r="2" ht="72" spans="1:19">
      <c r="A2" s="2" t="s">
        <v>3337</v>
      </c>
      <c r="B2" s="2" t="s">
        <v>825</v>
      </c>
      <c r="C2" s="2" t="s">
        <v>3338</v>
      </c>
      <c r="D2" s="2" t="s">
        <v>27</v>
      </c>
      <c r="E2" s="2" t="s">
        <v>13</v>
      </c>
      <c r="F2" s="2" t="s">
        <v>3339</v>
      </c>
      <c r="G2" s="2" t="s">
        <v>833</v>
      </c>
      <c r="H2" s="2" t="s">
        <v>3340</v>
      </c>
      <c r="I2" s="2" t="s">
        <v>869</v>
      </c>
      <c r="J2" s="2" t="s">
        <v>52</v>
      </c>
      <c r="K2" s="2" t="s">
        <v>3341</v>
      </c>
      <c r="L2" s="2" t="s">
        <v>873</v>
      </c>
      <c r="M2" s="2" t="s">
        <v>875</v>
      </c>
      <c r="N2" s="2" t="s">
        <v>877</v>
      </c>
      <c r="O2" s="2" t="s">
        <v>3342</v>
      </c>
      <c r="P2" s="2" t="s">
        <v>33</v>
      </c>
      <c r="Q2" s="2" t="s">
        <v>27</v>
      </c>
      <c r="R2" s="2" t="s">
        <v>3343</v>
      </c>
      <c r="S2" s="2"/>
    </row>
    <row r="3" ht="57.6" spans="1:19">
      <c r="A3" s="2" t="s">
        <v>3344</v>
      </c>
      <c r="B3" s="2"/>
      <c r="C3" s="2" t="s">
        <v>3345</v>
      </c>
      <c r="D3" s="2" t="s">
        <v>27</v>
      </c>
      <c r="E3" s="2" t="s">
        <v>13</v>
      </c>
      <c r="F3" s="2" t="s">
        <v>3339</v>
      </c>
      <c r="G3" s="2" t="s">
        <v>833</v>
      </c>
      <c r="H3" s="2" t="s">
        <v>3340</v>
      </c>
      <c r="I3" s="2" t="s">
        <v>924</v>
      </c>
      <c r="J3" s="2" t="s">
        <v>59</v>
      </c>
      <c r="K3" s="2" t="s">
        <v>3346</v>
      </c>
      <c r="L3" s="2" t="s">
        <v>928</v>
      </c>
      <c r="M3" s="2" t="s">
        <v>930</v>
      </c>
      <c r="N3" s="2" t="s">
        <v>932</v>
      </c>
      <c r="O3" s="2" t="s">
        <v>3342</v>
      </c>
      <c r="P3" s="2" t="s">
        <v>33</v>
      </c>
      <c r="Q3" s="2" t="s">
        <v>27</v>
      </c>
      <c r="R3" s="2" t="s">
        <v>3343</v>
      </c>
      <c r="S3" s="2"/>
    </row>
    <row r="4" ht="100.8" spans="1:19">
      <c r="A4" s="2" t="s">
        <v>3347</v>
      </c>
      <c r="B4" s="2"/>
      <c r="C4" s="2" t="s">
        <v>3348</v>
      </c>
      <c r="D4" s="2" t="s">
        <v>27</v>
      </c>
      <c r="E4" s="2" t="s">
        <v>13</v>
      </c>
      <c r="F4" s="2" t="s">
        <v>3339</v>
      </c>
      <c r="G4" s="2" t="s">
        <v>833</v>
      </c>
      <c r="H4" s="2" t="s">
        <v>3340</v>
      </c>
      <c r="I4" s="2" t="s">
        <v>1003</v>
      </c>
      <c r="J4" s="2" t="s">
        <v>65</v>
      </c>
      <c r="K4" s="2" t="s">
        <v>3349</v>
      </c>
      <c r="L4" s="2" t="s">
        <v>1007</v>
      </c>
      <c r="M4" s="2" t="s">
        <v>1009</v>
      </c>
      <c r="N4" s="2" t="s">
        <v>1011</v>
      </c>
      <c r="O4" s="2" t="s">
        <v>3342</v>
      </c>
      <c r="P4" s="2" t="s">
        <v>33</v>
      </c>
      <c r="Q4" s="2" t="s">
        <v>27</v>
      </c>
      <c r="R4" s="2" t="s">
        <v>3343</v>
      </c>
      <c r="S4" s="2"/>
    </row>
    <row r="5" ht="100.8" spans="1:19">
      <c r="A5" s="2" t="s">
        <v>3350</v>
      </c>
      <c r="B5" s="2"/>
      <c r="C5" s="2" t="s">
        <v>3351</v>
      </c>
      <c r="D5" s="2" t="s">
        <v>27</v>
      </c>
      <c r="E5" s="2" t="s">
        <v>13</v>
      </c>
      <c r="F5" s="2" t="s">
        <v>3339</v>
      </c>
      <c r="G5" s="2" t="s">
        <v>833</v>
      </c>
      <c r="H5" s="2" t="s">
        <v>3340</v>
      </c>
      <c r="I5" s="2" t="s">
        <v>1043</v>
      </c>
      <c r="J5" s="2" t="s">
        <v>1035</v>
      </c>
      <c r="K5" s="2" t="s">
        <v>3352</v>
      </c>
      <c r="L5" s="2" t="s">
        <v>1047</v>
      </c>
      <c r="M5" s="2" t="s">
        <v>1048</v>
      </c>
      <c r="N5" s="2" t="s">
        <v>1050</v>
      </c>
      <c r="O5" s="2" t="s">
        <v>3342</v>
      </c>
      <c r="P5" s="2" t="s">
        <v>33</v>
      </c>
      <c r="Q5" s="2" t="s">
        <v>27</v>
      </c>
      <c r="R5" s="2" t="s">
        <v>3343</v>
      </c>
      <c r="S5" s="2"/>
    </row>
    <row r="6" ht="86.4" spans="1:19">
      <c r="A6" s="2" t="s">
        <v>3353</v>
      </c>
      <c r="B6" s="2" t="s">
        <v>259</v>
      </c>
      <c r="C6" s="2" t="s">
        <v>3354</v>
      </c>
      <c r="D6" s="2" t="s">
        <v>27</v>
      </c>
      <c r="E6" s="2" t="s">
        <v>13</v>
      </c>
      <c r="F6" s="2" t="s">
        <v>3339</v>
      </c>
      <c r="G6" s="2" t="s">
        <v>833</v>
      </c>
      <c r="H6" s="2" t="s">
        <v>3340</v>
      </c>
      <c r="I6" s="2" t="s">
        <v>1064</v>
      </c>
      <c r="J6" s="2" t="s">
        <v>257</v>
      </c>
      <c r="K6" s="2" t="s">
        <v>3355</v>
      </c>
      <c r="L6" s="2" t="s">
        <v>1055</v>
      </c>
      <c r="M6" s="2" t="s">
        <v>1057</v>
      </c>
      <c r="N6" s="2" t="s">
        <v>1068</v>
      </c>
      <c r="O6" s="2" t="s">
        <v>3342</v>
      </c>
      <c r="P6" s="2" t="s">
        <v>33</v>
      </c>
      <c r="Q6" s="2" t="s">
        <v>27</v>
      </c>
      <c r="R6" s="2" t="s">
        <v>3343</v>
      </c>
      <c r="S6" s="2"/>
    </row>
    <row r="7" ht="100.8" spans="1:19">
      <c r="A7" s="2" t="s">
        <v>3356</v>
      </c>
      <c r="B7" s="2"/>
      <c r="C7" s="2" t="s">
        <v>3357</v>
      </c>
      <c r="D7" s="2" t="s">
        <v>27</v>
      </c>
      <c r="E7" s="2" t="s">
        <v>13</v>
      </c>
      <c r="F7" s="2" t="s">
        <v>3339</v>
      </c>
      <c r="G7" s="2" t="s">
        <v>833</v>
      </c>
      <c r="H7" s="2" t="s">
        <v>3340</v>
      </c>
      <c r="I7" s="2" t="s">
        <v>1069</v>
      </c>
      <c r="J7" s="2" t="s">
        <v>257</v>
      </c>
      <c r="K7" s="2" t="s">
        <v>3358</v>
      </c>
      <c r="L7" s="2" t="s">
        <v>1073</v>
      </c>
      <c r="M7" s="2" t="s">
        <v>1075</v>
      </c>
      <c r="N7" s="2" t="s">
        <v>1077</v>
      </c>
      <c r="O7" s="2" t="s">
        <v>3342</v>
      </c>
      <c r="P7" s="2" t="s">
        <v>33</v>
      </c>
      <c r="Q7" s="2" t="s">
        <v>27</v>
      </c>
      <c r="R7" s="2" t="s">
        <v>3343</v>
      </c>
      <c r="S7" s="2"/>
    </row>
    <row r="8" ht="115.2" spans="1:19">
      <c r="A8" s="2" t="s">
        <v>3359</v>
      </c>
      <c r="B8" s="2"/>
      <c r="C8" s="2" t="s">
        <v>3360</v>
      </c>
      <c r="D8" s="2" t="s">
        <v>27</v>
      </c>
      <c r="E8" s="2" t="s">
        <v>13</v>
      </c>
      <c r="F8" s="2" t="s">
        <v>3339</v>
      </c>
      <c r="G8" s="2" t="s">
        <v>833</v>
      </c>
      <c r="H8" s="2" t="s">
        <v>3340</v>
      </c>
      <c r="I8" s="2" t="s">
        <v>1116</v>
      </c>
      <c r="J8" s="2" t="s">
        <v>262</v>
      </c>
      <c r="K8" s="2" t="s">
        <v>3361</v>
      </c>
      <c r="L8" s="2" t="s">
        <v>1119</v>
      </c>
      <c r="M8" s="2" t="s">
        <v>1120</v>
      </c>
      <c r="N8" s="2" t="s">
        <v>1122</v>
      </c>
      <c r="O8" s="2" t="s">
        <v>3342</v>
      </c>
      <c r="P8" s="2" t="s">
        <v>33</v>
      </c>
      <c r="Q8" s="2" t="s">
        <v>27</v>
      </c>
      <c r="R8" s="2" t="s">
        <v>3343</v>
      </c>
      <c r="S8" s="2"/>
    </row>
    <row r="9" ht="86.4" spans="1:19">
      <c r="A9" s="2" t="s">
        <v>3362</v>
      </c>
      <c r="B9" s="2"/>
      <c r="C9" s="2" t="s">
        <v>3363</v>
      </c>
      <c r="D9" s="2" t="s">
        <v>27</v>
      </c>
      <c r="E9" s="2" t="s">
        <v>13</v>
      </c>
      <c r="F9" s="2" t="s">
        <v>3339</v>
      </c>
      <c r="G9" s="2" t="s">
        <v>833</v>
      </c>
      <c r="H9" s="2" t="s">
        <v>3340</v>
      </c>
      <c r="I9" s="2" t="s">
        <v>1139</v>
      </c>
      <c r="J9" s="2" t="s">
        <v>264</v>
      </c>
      <c r="K9" s="2" t="s">
        <v>3364</v>
      </c>
      <c r="L9" s="2" t="s">
        <v>1143</v>
      </c>
      <c r="M9" s="2" t="s">
        <v>1145</v>
      </c>
      <c r="N9" s="2" t="s">
        <v>1147</v>
      </c>
      <c r="O9" s="2" t="s">
        <v>3342</v>
      </c>
      <c r="P9" s="2" t="s">
        <v>33</v>
      </c>
      <c r="Q9" s="2" t="s">
        <v>27</v>
      </c>
      <c r="R9" s="2" t="s">
        <v>3343</v>
      </c>
      <c r="S9" s="2"/>
    </row>
    <row r="10" ht="57.6" spans="1:19">
      <c r="A10" s="2" t="s">
        <v>3365</v>
      </c>
      <c r="B10" s="2" t="s">
        <v>3366</v>
      </c>
      <c r="C10" s="2" t="s">
        <v>3367</v>
      </c>
      <c r="D10" s="2" t="s">
        <v>29</v>
      </c>
      <c r="E10" s="2" t="s">
        <v>13</v>
      </c>
      <c r="F10" s="2" t="s">
        <v>2754</v>
      </c>
      <c r="G10" s="2" t="s">
        <v>1212</v>
      </c>
      <c r="H10" s="2" t="s">
        <v>3368</v>
      </c>
      <c r="I10" s="2" t="s">
        <v>1223</v>
      </c>
      <c r="J10" s="2" t="s">
        <v>1224</v>
      </c>
      <c r="K10" s="2" t="s">
        <v>3369</v>
      </c>
      <c r="L10" s="2" t="s">
        <v>3370</v>
      </c>
      <c r="M10" s="2" t="s">
        <v>3371</v>
      </c>
      <c r="N10" s="2" t="s">
        <v>3372</v>
      </c>
      <c r="O10" s="2" t="s">
        <v>3342</v>
      </c>
      <c r="P10" s="2" t="s">
        <v>33</v>
      </c>
      <c r="Q10" s="2" t="s">
        <v>29</v>
      </c>
      <c r="R10" s="2" t="s">
        <v>3373</v>
      </c>
      <c r="S10" s="2"/>
    </row>
    <row r="11" ht="86.4" spans="1:19">
      <c r="A11" s="2" t="s">
        <v>3374</v>
      </c>
      <c r="B11" s="2" t="s">
        <v>3375</v>
      </c>
      <c r="C11" s="2" t="s">
        <v>3376</v>
      </c>
      <c r="D11" s="2" t="s">
        <v>29</v>
      </c>
      <c r="E11" s="2" t="s">
        <v>13</v>
      </c>
      <c r="F11" s="2" t="s">
        <v>833</v>
      </c>
      <c r="G11" s="2" t="s">
        <v>833</v>
      </c>
      <c r="H11" s="2" t="s">
        <v>3368</v>
      </c>
      <c r="I11" s="2" t="s">
        <v>1281</v>
      </c>
      <c r="J11" s="2" t="s">
        <v>1282</v>
      </c>
      <c r="K11" s="2" t="s">
        <v>3377</v>
      </c>
      <c r="L11" s="2" t="s">
        <v>3378</v>
      </c>
      <c r="M11" s="2" t="s">
        <v>3379</v>
      </c>
      <c r="N11" s="2" t="s">
        <v>3380</v>
      </c>
      <c r="O11" s="2" t="s">
        <v>3342</v>
      </c>
      <c r="P11" s="2" t="s">
        <v>33</v>
      </c>
      <c r="Q11" s="2" t="s">
        <v>29</v>
      </c>
      <c r="R11" s="2" t="s">
        <v>3373</v>
      </c>
      <c r="S11" s="2"/>
    </row>
    <row r="12" ht="86.4" spans="1:19">
      <c r="A12" s="2" t="s">
        <v>3381</v>
      </c>
      <c r="B12" s="2" t="s">
        <v>3382</v>
      </c>
      <c r="C12" s="2" t="s">
        <v>3383</v>
      </c>
      <c r="D12" s="2" t="s">
        <v>29</v>
      </c>
      <c r="E12" s="2" t="s">
        <v>13</v>
      </c>
      <c r="F12" s="2" t="s">
        <v>833</v>
      </c>
      <c r="G12" s="2" t="s">
        <v>833</v>
      </c>
      <c r="H12" s="2" t="s">
        <v>3368</v>
      </c>
      <c r="I12" s="2" t="s">
        <v>3384</v>
      </c>
      <c r="J12" s="2" t="s">
        <v>3385</v>
      </c>
      <c r="K12" s="2" t="s">
        <v>3386</v>
      </c>
      <c r="L12" s="2" t="s">
        <v>3387</v>
      </c>
      <c r="M12" s="2" t="s">
        <v>3388</v>
      </c>
      <c r="N12" s="2" t="s">
        <v>3389</v>
      </c>
      <c r="O12" s="2" t="s">
        <v>3342</v>
      </c>
      <c r="P12" s="2" t="s">
        <v>33</v>
      </c>
      <c r="Q12" s="2" t="s">
        <v>29</v>
      </c>
      <c r="R12" s="2" t="s">
        <v>3373</v>
      </c>
      <c r="S12" s="2"/>
    </row>
    <row r="13" ht="72" spans="1:19">
      <c r="A13" s="2" t="s">
        <v>3390</v>
      </c>
      <c r="B13" s="2" t="s">
        <v>3391</v>
      </c>
      <c r="C13" s="2" t="s">
        <v>3392</v>
      </c>
      <c r="D13" s="2" t="s">
        <v>29</v>
      </c>
      <c r="E13" s="2" t="s">
        <v>13</v>
      </c>
      <c r="F13" s="2" t="s">
        <v>1212</v>
      </c>
      <c r="G13" s="2" t="s">
        <v>833</v>
      </c>
      <c r="H13" s="2" t="s">
        <v>3368</v>
      </c>
      <c r="I13" s="2" t="s">
        <v>1347</v>
      </c>
      <c r="J13" s="2" t="s">
        <v>1348</v>
      </c>
      <c r="K13" s="2" t="s">
        <v>3393</v>
      </c>
      <c r="L13" s="2" t="s">
        <v>3394</v>
      </c>
      <c r="M13" s="2" t="s">
        <v>3395</v>
      </c>
      <c r="N13" s="2" t="s">
        <v>3396</v>
      </c>
      <c r="O13" s="2" t="s">
        <v>3342</v>
      </c>
      <c r="P13" s="2" t="s">
        <v>33</v>
      </c>
      <c r="Q13" s="2" t="s">
        <v>29</v>
      </c>
      <c r="R13" s="2" t="s">
        <v>3373</v>
      </c>
      <c r="S13" s="2"/>
    </row>
    <row r="14" ht="57.6" spans="1:19">
      <c r="A14" s="2" t="s">
        <v>3397</v>
      </c>
      <c r="B14" s="2" t="s">
        <v>3398</v>
      </c>
      <c r="C14" s="2" t="s">
        <v>3399</v>
      </c>
      <c r="D14" s="2" t="s">
        <v>29</v>
      </c>
      <c r="E14" s="2" t="s">
        <v>13</v>
      </c>
      <c r="F14" s="2" t="s">
        <v>1212</v>
      </c>
      <c r="G14" s="2" t="s">
        <v>833</v>
      </c>
      <c r="H14" s="2" t="s">
        <v>3368</v>
      </c>
      <c r="I14" s="2" t="s">
        <v>1356</v>
      </c>
      <c r="J14" s="2" t="s">
        <v>1357</v>
      </c>
      <c r="K14" s="2" t="s">
        <v>3400</v>
      </c>
      <c r="L14" s="2" t="s">
        <v>3401</v>
      </c>
      <c r="M14" s="2" t="s">
        <v>3402</v>
      </c>
      <c r="N14" s="2" t="s">
        <v>3403</v>
      </c>
      <c r="O14" s="2" t="s">
        <v>3342</v>
      </c>
      <c r="P14" s="2" t="s">
        <v>33</v>
      </c>
      <c r="Q14" s="2" t="s">
        <v>29</v>
      </c>
      <c r="R14" s="2" t="s">
        <v>3373</v>
      </c>
      <c r="S14" s="2"/>
    </row>
    <row r="15" ht="72" spans="1:19">
      <c r="A15" s="2" t="s">
        <v>3404</v>
      </c>
      <c r="B15" s="2" t="s">
        <v>3398</v>
      </c>
      <c r="C15" s="2" t="s">
        <v>3405</v>
      </c>
      <c r="D15" s="2" t="s">
        <v>29</v>
      </c>
      <c r="E15" s="2" t="s">
        <v>13</v>
      </c>
      <c r="F15" s="2" t="s">
        <v>833</v>
      </c>
      <c r="G15" s="2" t="s">
        <v>833</v>
      </c>
      <c r="H15" s="2" t="s">
        <v>3368</v>
      </c>
      <c r="I15" s="2" t="s">
        <v>1518</v>
      </c>
      <c r="J15" s="2" t="s">
        <v>1519</v>
      </c>
      <c r="K15" s="2" t="s">
        <v>3406</v>
      </c>
      <c r="L15" s="2" t="s">
        <v>3407</v>
      </c>
      <c r="M15" s="2" t="s">
        <v>3408</v>
      </c>
      <c r="N15" s="2" t="s">
        <v>3409</v>
      </c>
      <c r="O15" s="2" t="s">
        <v>3342</v>
      </c>
      <c r="P15" s="2" t="s">
        <v>33</v>
      </c>
      <c r="Q15" s="2" t="s">
        <v>29</v>
      </c>
      <c r="R15" s="2" t="s">
        <v>3373</v>
      </c>
      <c r="S15" s="2"/>
    </row>
    <row r="16" ht="72" spans="1:19">
      <c r="A16" s="2" t="s">
        <v>3410</v>
      </c>
      <c r="B16" s="2" t="s">
        <v>3398</v>
      </c>
      <c r="C16" s="2" t="s">
        <v>3411</v>
      </c>
      <c r="D16" s="2" t="s">
        <v>29</v>
      </c>
      <c r="E16" s="2" t="s">
        <v>13</v>
      </c>
      <c r="F16" s="2" t="s">
        <v>2754</v>
      </c>
      <c r="G16" s="2" t="s">
        <v>1212</v>
      </c>
      <c r="H16" s="2" t="s">
        <v>3368</v>
      </c>
      <c r="I16" s="2" t="s">
        <v>1528</v>
      </c>
      <c r="J16" s="2" t="s">
        <v>1529</v>
      </c>
      <c r="K16" s="2" t="s">
        <v>3412</v>
      </c>
      <c r="L16" s="2" t="s">
        <v>3413</v>
      </c>
      <c r="M16" s="2" t="s">
        <v>3414</v>
      </c>
      <c r="N16" s="2" t="s">
        <v>3415</v>
      </c>
      <c r="O16" s="2" t="s">
        <v>3342</v>
      </c>
      <c r="P16" s="2" t="s">
        <v>33</v>
      </c>
      <c r="Q16" s="2" t="s">
        <v>29</v>
      </c>
      <c r="R16" s="2" t="s">
        <v>3373</v>
      </c>
      <c r="S16" s="2"/>
    </row>
    <row r="17" ht="72" spans="1:19">
      <c r="A17" s="2" t="s">
        <v>3416</v>
      </c>
      <c r="B17" s="2" t="s">
        <v>3417</v>
      </c>
      <c r="C17" s="2" t="s">
        <v>3418</v>
      </c>
      <c r="D17" s="2" t="s">
        <v>29</v>
      </c>
      <c r="E17" s="2" t="s">
        <v>13</v>
      </c>
      <c r="F17" s="2" t="s">
        <v>3339</v>
      </c>
      <c r="G17" s="2" t="s">
        <v>833</v>
      </c>
      <c r="H17" s="2" t="s">
        <v>3368</v>
      </c>
      <c r="I17" s="2" t="s">
        <v>3419</v>
      </c>
      <c r="J17" s="2" t="s">
        <v>3420</v>
      </c>
      <c r="K17" s="2" t="s">
        <v>3421</v>
      </c>
      <c r="L17" s="2" t="s">
        <v>3422</v>
      </c>
      <c r="M17" s="2" t="s">
        <v>3423</v>
      </c>
      <c r="N17" s="2" t="s">
        <v>3424</v>
      </c>
      <c r="O17" s="2" t="s">
        <v>3342</v>
      </c>
      <c r="P17" s="2" t="s">
        <v>33</v>
      </c>
      <c r="Q17" s="2" t="s">
        <v>29</v>
      </c>
      <c r="R17" s="2" t="s">
        <v>3373</v>
      </c>
      <c r="S17" s="2"/>
    </row>
    <row r="18" ht="86.4" spans="1:19">
      <c r="A18" s="2" t="s">
        <v>3425</v>
      </c>
      <c r="B18" s="2" t="s">
        <v>3426</v>
      </c>
      <c r="C18" s="2" t="s">
        <v>3427</v>
      </c>
      <c r="D18" s="2" t="s">
        <v>29</v>
      </c>
      <c r="E18" s="2" t="s">
        <v>13</v>
      </c>
      <c r="F18" s="2" t="s">
        <v>2754</v>
      </c>
      <c r="G18" s="2" t="s">
        <v>1212</v>
      </c>
      <c r="H18" s="2" t="s">
        <v>3368</v>
      </c>
      <c r="I18" s="2" t="s">
        <v>1612</v>
      </c>
      <c r="J18" s="2" t="s">
        <v>1613</v>
      </c>
      <c r="K18" s="2" t="s">
        <v>3428</v>
      </c>
      <c r="L18" s="2" t="s">
        <v>3429</v>
      </c>
      <c r="M18" s="2" t="s">
        <v>3430</v>
      </c>
      <c r="N18" s="2" t="s">
        <v>3431</v>
      </c>
      <c r="O18" s="2" t="s">
        <v>3342</v>
      </c>
      <c r="P18" s="2" t="s">
        <v>33</v>
      </c>
      <c r="Q18" s="2" t="s">
        <v>29</v>
      </c>
      <c r="R18" s="2" t="s">
        <v>3373</v>
      </c>
      <c r="S18" s="2"/>
    </row>
    <row r="19" ht="57.6" spans="1:19">
      <c r="A19" s="2" t="s">
        <v>3432</v>
      </c>
      <c r="B19" s="2" t="s">
        <v>3433</v>
      </c>
      <c r="C19" s="2" t="s">
        <v>3434</v>
      </c>
      <c r="D19" s="2" t="s">
        <v>29</v>
      </c>
      <c r="E19" s="2" t="s">
        <v>13</v>
      </c>
      <c r="F19" s="2" t="s">
        <v>833</v>
      </c>
      <c r="G19" s="2" t="s">
        <v>833</v>
      </c>
      <c r="H19" s="2" t="s">
        <v>3368</v>
      </c>
      <c r="I19" s="2" t="s">
        <v>1745</v>
      </c>
      <c r="J19" s="2" t="s">
        <v>1746</v>
      </c>
      <c r="K19" s="2" t="s">
        <v>3435</v>
      </c>
      <c r="L19" s="2" t="s">
        <v>3436</v>
      </c>
      <c r="M19" s="2" t="s">
        <v>3437</v>
      </c>
      <c r="N19" s="2" t="s">
        <v>3438</v>
      </c>
      <c r="O19" s="2" t="s">
        <v>3342</v>
      </c>
      <c r="P19" s="2" t="s">
        <v>33</v>
      </c>
      <c r="Q19" s="2" t="s">
        <v>29</v>
      </c>
      <c r="R19" s="2" t="s">
        <v>3373</v>
      </c>
      <c r="S19" s="2"/>
    </row>
    <row r="20" ht="86.4" spans="1:19">
      <c r="A20" s="2" t="s">
        <v>3439</v>
      </c>
      <c r="B20" s="2" t="s">
        <v>3440</v>
      </c>
      <c r="C20" s="2" t="s">
        <v>3441</v>
      </c>
      <c r="D20" s="2" t="s">
        <v>29</v>
      </c>
      <c r="E20" s="2" t="s">
        <v>13</v>
      </c>
      <c r="F20" s="2" t="s">
        <v>1212</v>
      </c>
      <c r="G20" s="2" t="s">
        <v>1212</v>
      </c>
      <c r="H20" s="2" t="s">
        <v>3368</v>
      </c>
      <c r="I20" s="2" t="s">
        <v>3442</v>
      </c>
      <c r="J20" s="2" t="s">
        <v>3443</v>
      </c>
      <c r="K20" s="2" t="s">
        <v>3444</v>
      </c>
      <c r="L20" s="2" t="s">
        <v>3445</v>
      </c>
      <c r="M20" s="2" t="s">
        <v>3446</v>
      </c>
      <c r="N20" s="2" t="s">
        <v>3447</v>
      </c>
      <c r="O20" s="2" t="s">
        <v>3342</v>
      </c>
      <c r="P20" s="2" t="s">
        <v>33</v>
      </c>
      <c r="Q20" s="2" t="s">
        <v>29</v>
      </c>
      <c r="R20" s="2" t="s">
        <v>3373</v>
      </c>
      <c r="S20" s="2"/>
    </row>
    <row r="21" ht="57.6" spans="1:19">
      <c r="A21" s="2" t="s">
        <v>3448</v>
      </c>
      <c r="B21" s="2" t="s">
        <v>3449</v>
      </c>
      <c r="C21" s="2" t="s">
        <v>3450</v>
      </c>
      <c r="D21" s="2" t="s">
        <v>29</v>
      </c>
      <c r="E21" s="2" t="s">
        <v>13</v>
      </c>
      <c r="F21" s="2" t="s">
        <v>833</v>
      </c>
      <c r="G21" s="2" t="s">
        <v>833</v>
      </c>
      <c r="H21" s="2" t="s">
        <v>3368</v>
      </c>
      <c r="I21" s="2" t="s">
        <v>1829</v>
      </c>
      <c r="J21" s="2" t="s">
        <v>1830</v>
      </c>
      <c r="K21" s="2" t="s">
        <v>3451</v>
      </c>
      <c r="L21" s="2" t="s">
        <v>3452</v>
      </c>
      <c r="M21" s="2" t="s">
        <v>3453</v>
      </c>
      <c r="N21" s="2" t="s">
        <v>3454</v>
      </c>
      <c r="O21" s="2" t="s">
        <v>3342</v>
      </c>
      <c r="P21" s="2" t="s">
        <v>33</v>
      </c>
      <c r="Q21" s="2" t="s">
        <v>29</v>
      </c>
      <c r="R21" s="2" t="s">
        <v>3373</v>
      </c>
      <c r="S21" s="2"/>
    </row>
    <row r="22" ht="57.6" spans="1:19">
      <c r="A22" s="2" t="s">
        <v>3455</v>
      </c>
      <c r="B22" s="2" t="s">
        <v>3456</v>
      </c>
      <c r="C22" s="2" t="s">
        <v>3457</v>
      </c>
      <c r="D22" s="2" t="s">
        <v>29</v>
      </c>
      <c r="E22" s="2" t="s">
        <v>13</v>
      </c>
      <c r="F22" s="2" t="s">
        <v>833</v>
      </c>
      <c r="G22" s="2" t="s">
        <v>833</v>
      </c>
      <c r="H22" s="2" t="s">
        <v>3368</v>
      </c>
      <c r="I22" s="2" t="s">
        <v>2053</v>
      </c>
      <c r="J22" s="2" t="s">
        <v>2054</v>
      </c>
      <c r="K22" s="2" t="s">
        <v>3458</v>
      </c>
      <c r="L22" s="2" t="s">
        <v>3459</v>
      </c>
      <c r="M22" s="2" t="s">
        <v>2059</v>
      </c>
      <c r="N22" s="2" t="s">
        <v>3460</v>
      </c>
      <c r="O22" s="2" t="s">
        <v>3342</v>
      </c>
      <c r="P22" s="2" t="s">
        <v>33</v>
      </c>
      <c r="Q22" s="2" t="s">
        <v>29</v>
      </c>
      <c r="R22" s="2" t="s">
        <v>3373</v>
      </c>
      <c r="S22" s="2"/>
    </row>
    <row r="23" ht="43.2" spans="1:19">
      <c r="A23" s="2" t="s">
        <v>3461</v>
      </c>
      <c r="B23" s="2" t="s">
        <v>3462</v>
      </c>
      <c r="C23" s="2" t="s">
        <v>3463</v>
      </c>
      <c r="D23" s="2" t="s">
        <v>29</v>
      </c>
      <c r="E23" s="2" t="s">
        <v>13</v>
      </c>
      <c r="F23" s="2" t="s">
        <v>2754</v>
      </c>
      <c r="G23" s="2" t="s">
        <v>1212</v>
      </c>
      <c r="H23" s="2" t="s">
        <v>3368</v>
      </c>
      <c r="I23" s="2" t="s">
        <v>2142</v>
      </c>
      <c r="J23" s="2" t="s">
        <v>2143</v>
      </c>
      <c r="K23" s="2" t="s">
        <v>3464</v>
      </c>
      <c r="L23" s="2" t="s">
        <v>3465</v>
      </c>
      <c r="M23" s="2" t="s">
        <v>3466</v>
      </c>
      <c r="N23" s="2" t="s">
        <v>3467</v>
      </c>
      <c r="O23" s="2" t="s">
        <v>3342</v>
      </c>
      <c r="P23" s="2" t="s">
        <v>33</v>
      </c>
      <c r="Q23" s="2" t="s">
        <v>29</v>
      </c>
      <c r="R23" s="2" t="s">
        <v>3373</v>
      </c>
      <c r="S23" s="2"/>
    </row>
    <row r="24" ht="100.8" spans="1:19">
      <c r="A24" s="2" t="s">
        <v>3468</v>
      </c>
      <c r="B24" s="2" t="s">
        <v>3469</v>
      </c>
      <c r="C24" s="2" t="s">
        <v>3470</v>
      </c>
      <c r="D24" s="2" t="s">
        <v>29</v>
      </c>
      <c r="E24" s="2" t="s">
        <v>13</v>
      </c>
      <c r="F24" s="2" t="s">
        <v>833</v>
      </c>
      <c r="G24" s="2" t="s">
        <v>833</v>
      </c>
      <c r="H24" s="2" t="s">
        <v>3368</v>
      </c>
      <c r="I24" s="2" t="s">
        <v>2159</v>
      </c>
      <c r="J24" s="2" t="s">
        <v>2160</v>
      </c>
      <c r="K24" s="2" t="s">
        <v>3471</v>
      </c>
      <c r="L24" s="2" t="s">
        <v>3472</v>
      </c>
      <c r="M24" s="2" t="s">
        <v>2166</v>
      </c>
      <c r="N24" s="2" t="s">
        <v>3473</v>
      </c>
      <c r="O24" s="2" t="s">
        <v>3342</v>
      </c>
      <c r="P24" s="2" t="s">
        <v>33</v>
      </c>
      <c r="Q24" s="2" t="s">
        <v>29</v>
      </c>
      <c r="R24" s="2" t="s">
        <v>3474</v>
      </c>
      <c r="S24" s="2"/>
    </row>
    <row r="25" ht="86.4" spans="1:19">
      <c r="A25" s="2" t="s">
        <v>3475</v>
      </c>
      <c r="B25" s="2" t="s">
        <v>3476</v>
      </c>
      <c r="C25" s="2" t="s">
        <v>3477</v>
      </c>
      <c r="D25" s="2" t="s">
        <v>31</v>
      </c>
      <c r="E25" s="2"/>
      <c r="F25" s="2" t="s">
        <v>2754</v>
      </c>
      <c r="G25" s="2" t="s">
        <v>1212</v>
      </c>
      <c r="H25" s="2" t="s">
        <v>3478</v>
      </c>
      <c r="I25" s="2" t="s">
        <v>3479</v>
      </c>
      <c r="J25" s="2" t="s">
        <v>3480</v>
      </c>
      <c r="K25" s="2" t="s">
        <v>3481</v>
      </c>
      <c r="L25" s="2" t="s">
        <v>3482</v>
      </c>
      <c r="M25" s="2" t="s">
        <v>3483</v>
      </c>
      <c r="N25" s="2" t="s">
        <v>3342</v>
      </c>
      <c r="O25" s="2"/>
      <c r="P25" s="2" t="s">
        <v>3342</v>
      </c>
      <c r="Q25" s="2" t="s">
        <v>33</v>
      </c>
      <c r="R25" s="2" t="s">
        <v>31</v>
      </c>
      <c r="S25" s="3">
        <v>46213</v>
      </c>
    </row>
    <row r="26" ht="57.6" spans="1:19">
      <c r="A26" s="2" t="s">
        <v>3484</v>
      </c>
      <c r="B26" s="2" t="s">
        <v>155</v>
      </c>
      <c r="C26" s="2" t="s">
        <v>3485</v>
      </c>
      <c r="D26" s="2" t="s">
        <v>31</v>
      </c>
      <c r="E26" s="2"/>
      <c r="F26" s="2" t="s">
        <v>3339</v>
      </c>
      <c r="G26" s="2" t="s">
        <v>833</v>
      </c>
      <c r="H26" s="2" t="s">
        <v>3486</v>
      </c>
      <c r="I26" s="2" t="s">
        <v>160</v>
      </c>
      <c r="J26" s="2" t="s">
        <v>3487</v>
      </c>
      <c r="K26" s="2" t="s">
        <v>3488</v>
      </c>
      <c r="L26" s="2" t="s">
        <v>3489</v>
      </c>
      <c r="M26" s="2" t="s">
        <v>3490</v>
      </c>
      <c r="N26" s="2" t="s">
        <v>3342</v>
      </c>
      <c r="O26" s="2"/>
      <c r="P26" s="2" t="s">
        <v>3342</v>
      </c>
      <c r="Q26" s="2" t="s">
        <v>33</v>
      </c>
      <c r="R26" s="2" t="s">
        <v>31</v>
      </c>
      <c r="S26" s="3">
        <v>46213</v>
      </c>
    </row>
    <row r="27" ht="43.2" spans="1:19">
      <c r="A27" s="2" t="s">
        <v>3491</v>
      </c>
      <c r="B27" s="2" t="s">
        <v>155</v>
      </c>
      <c r="C27" s="2" t="s">
        <v>3492</v>
      </c>
      <c r="D27" s="2" t="s">
        <v>31</v>
      </c>
      <c r="E27" s="2"/>
      <c r="F27" s="2" t="s">
        <v>3339</v>
      </c>
      <c r="G27" s="2" t="s">
        <v>833</v>
      </c>
      <c r="H27" s="2" t="s">
        <v>3493</v>
      </c>
      <c r="I27" s="2" t="s">
        <v>156</v>
      </c>
      <c r="J27" s="2" t="s">
        <v>3494</v>
      </c>
      <c r="K27" s="2" t="s">
        <v>3495</v>
      </c>
      <c r="L27" s="2" t="s">
        <v>3496</v>
      </c>
      <c r="M27" s="2" t="s">
        <v>3497</v>
      </c>
      <c r="N27" s="2" t="s">
        <v>3342</v>
      </c>
      <c r="O27" s="2"/>
      <c r="P27" s="2" t="s">
        <v>3342</v>
      </c>
      <c r="Q27" s="2" t="s">
        <v>33</v>
      </c>
      <c r="R27" s="2" t="s">
        <v>31</v>
      </c>
      <c r="S27" s="3">
        <v>46213</v>
      </c>
    </row>
    <row r="28" ht="43.2" spans="1:19">
      <c r="A28" s="2" t="s">
        <v>3498</v>
      </c>
      <c r="B28" s="2" t="s">
        <v>155</v>
      </c>
      <c r="C28" s="2" t="s">
        <v>3499</v>
      </c>
      <c r="D28" s="2" t="s">
        <v>31</v>
      </c>
      <c r="E28" s="2"/>
      <c r="F28" s="2" t="s">
        <v>833</v>
      </c>
      <c r="G28" s="2" t="s">
        <v>833</v>
      </c>
      <c r="H28" s="2" t="s">
        <v>3500</v>
      </c>
      <c r="I28" s="2" t="s">
        <v>158</v>
      </c>
      <c r="J28" s="2" t="s">
        <v>3501</v>
      </c>
      <c r="K28" s="2" t="s">
        <v>3502</v>
      </c>
      <c r="L28" s="2" t="s">
        <v>3503</v>
      </c>
      <c r="M28" s="2" t="s">
        <v>3504</v>
      </c>
      <c r="N28" s="2" t="s">
        <v>3342</v>
      </c>
      <c r="O28" s="2"/>
      <c r="P28" s="2" t="s">
        <v>3342</v>
      </c>
      <c r="Q28" s="2" t="s">
        <v>33</v>
      </c>
      <c r="R28" s="2" t="s">
        <v>31</v>
      </c>
      <c r="S28" s="3">
        <v>46213</v>
      </c>
    </row>
    <row r="29" ht="43.2" spans="1:19">
      <c r="A29" s="2" t="s">
        <v>3505</v>
      </c>
      <c r="B29" s="2" t="s">
        <v>80</v>
      </c>
      <c r="C29" s="2" t="s">
        <v>3506</v>
      </c>
      <c r="D29" s="2" t="s">
        <v>31</v>
      </c>
      <c r="E29" s="2"/>
      <c r="F29" s="2" t="s">
        <v>3339</v>
      </c>
      <c r="G29" s="2" t="s">
        <v>833</v>
      </c>
      <c r="H29" s="2" t="s">
        <v>3507</v>
      </c>
      <c r="I29" s="2" t="s">
        <v>174</v>
      </c>
      <c r="J29" s="2" t="s">
        <v>3508</v>
      </c>
      <c r="K29" s="2" t="s">
        <v>3509</v>
      </c>
      <c r="L29" s="2" t="s">
        <v>3510</v>
      </c>
      <c r="M29" s="2" t="s">
        <v>3511</v>
      </c>
      <c r="N29" s="2" t="s">
        <v>3342</v>
      </c>
      <c r="O29" s="2"/>
      <c r="P29" s="2" t="s">
        <v>3342</v>
      </c>
      <c r="Q29" s="2" t="s">
        <v>33</v>
      </c>
      <c r="R29" s="2" t="s">
        <v>31</v>
      </c>
      <c r="S29" s="3">
        <v>46213</v>
      </c>
    </row>
    <row r="30" ht="28.8" spans="1:19">
      <c r="A30" s="2" t="s">
        <v>3512</v>
      </c>
      <c r="B30" s="2" t="s">
        <v>155</v>
      </c>
      <c r="C30" s="2" t="s">
        <v>3513</v>
      </c>
      <c r="D30" s="2" t="s">
        <v>31</v>
      </c>
      <c r="E30" s="2"/>
      <c r="F30" s="2" t="s">
        <v>1212</v>
      </c>
      <c r="G30" s="2" t="s">
        <v>1212</v>
      </c>
      <c r="H30" s="2" t="s">
        <v>3514</v>
      </c>
      <c r="I30" s="2" t="s">
        <v>168</v>
      </c>
      <c r="J30" s="2" t="s">
        <v>3515</v>
      </c>
      <c r="K30" s="2" t="s">
        <v>3516</v>
      </c>
      <c r="L30" s="2" t="s">
        <v>3517</v>
      </c>
      <c r="M30" s="2" t="s">
        <v>3518</v>
      </c>
      <c r="N30" s="2" t="s">
        <v>3342</v>
      </c>
      <c r="O30" s="2"/>
      <c r="P30" s="2" t="s">
        <v>3342</v>
      </c>
      <c r="Q30" s="2" t="s">
        <v>33</v>
      </c>
      <c r="R30" s="2" t="s">
        <v>31</v>
      </c>
      <c r="S30" s="3">
        <v>46213</v>
      </c>
    </row>
    <row r="31" ht="43.2" spans="1:19">
      <c r="A31" s="2" t="s">
        <v>3519</v>
      </c>
      <c r="B31" s="2" t="s">
        <v>107</v>
      </c>
      <c r="C31" s="2" t="s">
        <v>3520</v>
      </c>
      <c r="D31" s="2" t="s">
        <v>31</v>
      </c>
      <c r="E31" s="2"/>
      <c r="F31" s="2" t="s">
        <v>3339</v>
      </c>
      <c r="G31" s="2" t="s">
        <v>3339</v>
      </c>
      <c r="H31" s="2" t="s">
        <v>3521</v>
      </c>
      <c r="I31" s="2" t="s">
        <v>129</v>
      </c>
      <c r="J31" s="2" t="s">
        <v>3522</v>
      </c>
      <c r="K31" s="2" t="s">
        <v>3523</v>
      </c>
      <c r="L31" s="2" t="s">
        <v>3524</v>
      </c>
      <c r="M31" s="2" t="s">
        <v>3525</v>
      </c>
      <c r="N31" s="2" t="s">
        <v>3342</v>
      </c>
      <c r="O31" s="2"/>
      <c r="P31" s="2" t="s">
        <v>3342</v>
      </c>
      <c r="Q31" s="2" t="s">
        <v>33</v>
      </c>
      <c r="R31" s="2" t="s">
        <v>31</v>
      </c>
      <c r="S31" s="3">
        <v>46213</v>
      </c>
    </row>
    <row r="32" ht="28.8" spans="1:19">
      <c r="A32" s="2" t="s">
        <v>3526</v>
      </c>
      <c r="B32" s="2" t="s">
        <v>107</v>
      </c>
      <c r="C32" s="2" t="s">
        <v>3527</v>
      </c>
      <c r="D32" s="2" t="s">
        <v>31</v>
      </c>
      <c r="E32" s="2"/>
      <c r="F32" s="2" t="s">
        <v>833</v>
      </c>
      <c r="G32" s="2" t="s">
        <v>833</v>
      </c>
      <c r="H32" s="2" t="s">
        <v>3528</v>
      </c>
      <c r="I32" s="2" t="s">
        <v>131</v>
      </c>
      <c r="J32" s="2" t="s">
        <v>3529</v>
      </c>
      <c r="K32" s="2" t="s">
        <v>3530</v>
      </c>
      <c r="L32" s="2" t="s">
        <v>3531</v>
      </c>
      <c r="M32" s="2" t="s">
        <v>3532</v>
      </c>
      <c r="N32" s="2" t="s">
        <v>3342</v>
      </c>
      <c r="O32" s="2"/>
      <c r="P32" s="2" t="s">
        <v>3342</v>
      </c>
      <c r="Q32" s="2" t="s">
        <v>33</v>
      </c>
      <c r="R32" s="2" t="s">
        <v>31</v>
      </c>
      <c r="S32" s="3">
        <v>46213</v>
      </c>
    </row>
    <row r="33" ht="28.8" spans="1:19">
      <c r="A33" s="2" t="s">
        <v>3533</v>
      </c>
      <c r="B33" s="2" t="s">
        <v>107</v>
      </c>
      <c r="C33" s="2" t="s">
        <v>3534</v>
      </c>
      <c r="D33" s="2" t="s">
        <v>31</v>
      </c>
      <c r="E33" s="2"/>
      <c r="F33" s="2" t="s">
        <v>833</v>
      </c>
      <c r="G33" s="2" t="s">
        <v>833</v>
      </c>
      <c r="H33" s="2" t="s">
        <v>3535</v>
      </c>
      <c r="I33" s="2" t="s">
        <v>137</v>
      </c>
      <c r="J33" s="2" t="s">
        <v>3536</v>
      </c>
      <c r="K33" s="2" t="s">
        <v>3537</v>
      </c>
      <c r="L33" s="2" t="s">
        <v>3538</v>
      </c>
      <c r="M33" s="2" t="s">
        <v>3536</v>
      </c>
      <c r="N33" s="2" t="s">
        <v>3342</v>
      </c>
      <c r="O33" s="2"/>
      <c r="P33" s="2" t="s">
        <v>3342</v>
      </c>
      <c r="Q33" s="2" t="s">
        <v>33</v>
      </c>
      <c r="R33" s="2" t="s">
        <v>31</v>
      </c>
      <c r="S33" s="3">
        <v>46213</v>
      </c>
    </row>
    <row r="34" ht="57.6" spans="1:19">
      <c r="A34" s="2" t="s">
        <v>3539</v>
      </c>
      <c r="B34" s="2" t="s">
        <v>3540</v>
      </c>
      <c r="C34" s="2" t="s">
        <v>3541</v>
      </c>
      <c r="D34" s="2" t="s">
        <v>3542</v>
      </c>
      <c r="E34" s="2" t="s">
        <v>3543</v>
      </c>
      <c r="F34" s="2" t="s">
        <v>2754</v>
      </c>
      <c r="G34" s="2" t="s">
        <v>2754</v>
      </c>
      <c r="H34" s="2" t="s">
        <v>3544</v>
      </c>
      <c r="I34" s="2" t="s">
        <v>3005</v>
      </c>
      <c r="J34" s="2"/>
      <c r="K34" s="2" t="s">
        <v>3545</v>
      </c>
      <c r="L34" s="2" t="s">
        <v>3546</v>
      </c>
      <c r="M34" s="2" t="s">
        <v>3547</v>
      </c>
      <c r="N34" s="2" t="s">
        <v>3548</v>
      </c>
      <c r="O34" s="2" t="s">
        <v>3549</v>
      </c>
      <c r="P34" s="2" t="s">
        <v>3550</v>
      </c>
      <c r="Q34" s="2" t="s">
        <v>33</v>
      </c>
      <c r="R34" s="2" t="s">
        <v>3373</v>
      </c>
      <c r="S34" s="2"/>
    </row>
    <row r="35" ht="43.2" spans="1:19">
      <c r="A35" s="2" t="s">
        <v>3551</v>
      </c>
      <c r="B35" s="2" t="s">
        <v>3540</v>
      </c>
      <c r="C35" s="2" t="s">
        <v>3552</v>
      </c>
      <c r="D35" s="2" t="s">
        <v>3542</v>
      </c>
      <c r="E35" s="2" t="s">
        <v>3543</v>
      </c>
      <c r="F35" s="2" t="s">
        <v>1212</v>
      </c>
      <c r="G35" s="2" t="s">
        <v>1212</v>
      </c>
      <c r="H35" s="2" t="s">
        <v>3544</v>
      </c>
      <c r="I35" s="2" t="s">
        <v>3017</v>
      </c>
      <c r="J35" s="2"/>
      <c r="K35" s="2" t="s">
        <v>3553</v>
      </c>
      <c r="L35" s="2" t="s">
        <v>3554</v>
      </c>
      <c r="M35" s="2" t="s">
        <v>3555</v>
      </c>
      <c r="N35" s="2" t="s">
        <v>3556</v>
      </c>
      <c r="O35" s="2" t="s">
        <v>3549</v>
      </c>
      <c r="P35" s="2" t="s">
        <v>3550</v>
      </c>
      <c r="Q35" s="2" t="s">
        <v>33</v>
      </c>
      <c r="R35" s="2" t="s">
        <v>3373</v>
      </c>
      <c r="S35" s="2"/>
    </row>
    <row r="36" ht="57.6" spans="1:19">
      <c r="A36" s="2" t="s">
        <v>3557</v>
      </c>
      <c r="B36" s="2" t="s">
        <v>3540</v>
      </c>
      <c r="C36" s="2" t="s">
        <v>3558</v>
      </c>
      <c r="D36" s="2" t="s">
        <v>3542</v>
      </c>
      <c r="E36" s="2" t="s">
        <v>3543</v>
      </c>
      <c r="F36" s="2" t="s">
        <v>2754</v>
      </c>
      <c r="G36" s="2" t="s">
        <v>2754</v>
      </c>
      <c r="H36" s="2" t="s">
        <v>3544</v>
      </c>
      <c r="I36" s="2" t="s">
        <v>3026</v>
      </c>
      <c r="J36" s="2"/>
      <c r="K36" s="2" t="s">
        <v>3559</v>
      </c>
      <c r="L36" s="2" t="s">
        <v>3560</v>
      </c>
      <c r="M36" s="2" t="s">
        <v>3561</v>
      </c>
      <c r="N36" s="2" t="s">
        <v>3562</v>
      </c>
      <c r="O36" s="2" t="s">
        <v>3549</v>
      </c>
      <c r="P36" s="2" t="s">
        <v>3550</v>
      </c>
      <c r="Q36" s="2" t="s">
        <v>33</v>
      </c>
      <c r="R36" s="2" t="s">
        <v>3373</v>
      </c>
      <c r="S36" s="2"/>
    </row>
    <row r="37" ht="72" spans="1:19">
      <c r="A37" s="2" t="s">
        <v>3563</v>
      </c>
      <c r="B37" s="2" t="s">
        <v>3133</v>
      </c>
      <c r="C37" s="2" t="s">
        <v>3564</v>
      </c>
      <c r="D37" s="2" t="s">
        <v>3542</v>
      </c>
      <c r="E37" s="2" t="s">
        <v>3543</v>
      </c>
      <c r="F37" s="2" t="s">
        <v>833</v>
      </c>
      <c r="G37" s="2" t="s">
        <v>833</v>
      </c>
      <c r="H37" s="2" t="s">
        <v>3544</v>
      </c>
      <c r="I37" s="2" t="s">
        <v>3146</v>
      </c>
      <c r="J37" s="2"/>
      <c r="K37" s="2" t="s">
        <v>3565</v>
      </c>
      <c r="L37" s="2" t="s">
        <v>3566</v>
      </c>
      <c r="M37" s="2" t="s">
        <v>3567</v>
      </c>
      <c r="N37" s="2" t="s">
        <v>3568</v>
      </c>
      <c r="O37" s="2" t="s">
        <v>3549</v>
      </c>
      <c r="P37" s="2" t="s">
        <v>3550</v>
      </c>
      <c r="Q37" s="2" t="s">
        <v>33</v>
      </c>
      <c r="R37" s="2" t="s">
        <v>3373</v>
      </c>
      <c r="S37" s="2"/>
    </row>
    <row r="38" ht="43.2" spans="1:19">
      <c r="A38" s="2" t="s">
        <v>3569</v>
      </c>
      <c r="B38" s="2" t="s">
        <v>3133</v>
      </c>
      <c r="C38" s="2" t="s">
        <v>3570</v>
      </c>
      <c r="D38" s="2" t="s">
        <v>3542</v>
      </c>
      <c r="E38" s="2" t="s">
        <v>3543</v>
      </c>
      <c r="F38" s="2" t="s">
        <v>2754</v>
      </c>
      <c r="G38" s="2" t="s">
        <v>1212</v>
      </c>
      <c r="H38" s="2" t="s">
        <v>3544</v>
      </c>
      <c r="I38" s="2" t="s">
        <v>3164</v>
      </c>
      <c r="J38" s="2"/>
      <c r="K38" s="2" t="s">
        <v>3571</v>
      </c>
      <c r="L38" s="2" t="s">
        <v>3572</v>
      </c>
      <c r="M38" s="2" t="s">
        <v>3573</v>
      </c>
      <c r="N38" s="2" t="s">
        <v>3574</v>
      </c>
      <c r="O38" s="2" t="s">
        <v>3549</v>
      </c>
      <c r="P38" s="2" t="s">
        <v>3550</v>
      </c>
      <c r="Q38" s="2" t="s">
        <v>33</v>
      </c>
      <c r="R38" s="2" t="s">
        <v>3373</v>
      </c>
      <c r="S38" s="2"/>
    </row>
    <row r="39" ht="86.4" spans="1:19">
      <c r="A39" s="2" t="s">
        <v>3575</v>
      </c>
      <c r="B39" s="2" t="s">
        <v>3133</v>
      </c>
      <c r="C39" s="2" t="s">
        <v>3576</v>
      </c>
      <c r="D39" s="2" t="s">
        <v>3542</v>
      </c>
      <c r="E39" s="2" t="s">
        <v>3543</v>
      </c>
      <c r="F39" s="2" t="s">
        <v>833</v>
      </c>
      <c r="G39" s="2" t="s">
        <v>833</v>
      </c>
      <c r="H39" s="2" t="s">
        <v>3544</v>
      </c>
      <c r="I39" s="2" t="s">
        <v>3577</v>
      </c>
      <c r="J39" s="2"/>
      <c r="K39" s="2" t="s">
        <v>3578</v>
      </c>
      <c r="L39" s="2" t="s">
        <v>3579</v>
      </c>
      <c r="M39" s="2" t="s">
        <v>3580</v>
      </c>
      <c r="N39" s="2" t="s">
        <v>3581</v>
      </c>
      <c r="O39" s="2" t="s">
        <v>3549</v>
      </c>
      <c r="P39" s="2" t="s">
        <v>3550</v>
      </c>
      <c r="Q39" s="2" t="s">
        <v>33</v>
      </c>
      <c r="R39" s="2" t="s">
        <v>3373</v>
      </c>
      <c r="S39" s="2"/>
    </row>
    <row r="40" ht="72" spans="1:19">
      <c r="A40" s="2" t="s">
        <v>3582</v>
      </c>
      <c r="B40" s="2" t="s">
        <v>3583</v>
      </c>
      <c r="C40" s="2" t="s">
        <v>3584</v>
      </c>
      <c r="D40" s="2" t="s">
        <v>3585</v>
      </c>
      <c r="E40" s="2" t="s">
        <v>3586</v>
      </c>
      <c r="F40" s="2" t="s">
        <v>1212</v>
      </c>
      <c r="G40" s="2" t="s">
        <v>1212</v>
      </c>
      <c r="H40" s="2" t="s">
        <v>3587</v>
      </c>
      <c r="I40" s="2" t="s">
        <v>2726</v>
      </c>
      <c r="J40" s="2" t="s">
        <v>830</v>
      </c>
      <c r="K40" s="2" t="s">
        <v>3588</v>
      </c>
      <c r="L40" s="2" t="s">
        <v>3589</v>
      </c>
      <c r="M40" s="2" t="s">
        <v>2730</v>
      </c>
      <c r="N40" s="2" t="s">
        <v>3590</v>
      </c>
      <c r="O40" s="2" t="s">
        <v>3549</v>
      </c>
      <c r="P40" s="2" t="s">
        <v>3591</v>
      </c>
      <c r="Q40" s="2" t="s">
        <v>3585</v>
      </c>
      <c r="R40" s="2">
        <v>46213</v>
      </c>
      <c r="S40" s="2" t="s">
        <v>3592</v>
      </c>
    </row>
    <row r="41" ht="57.6" spans="1:19">
      <c r="A41" s="2" t="s">
        <v>3593</v>
      </c>
      <c r="B41" s="2" t="s">
        <v>3583</v>
      </c>
      <c r="C41" s="2" t="s">
        <v>3594</v>
      </c>
      <c r="D41" s="2" t="s">
        <v>3585</v>
      </c>
      <c r="E41" s="2" t="s">
        <v>3586</v>
      </c>
      <c r="F41" s="2" t="s">
        <v>1212</v>
      </c>
      <c r="G41" s="2" t="s">
        <v>1212</v>
      </c>
      <c r="H41" s="2" t="s">
        <v>3587</v>
      </c>
      <c r="I41" s="2" t="s">
        <v>2737</v>
      </c>
      <c r="J41" s="2" t="s">
        <v>830</v>
      </c>
      <c r="K41" s="2" t="s">
        <v>3595</v>
      </c>
      <c r="L41" s="2" t="s">
        <v>3596</v>
      </c>
      <c r="M41" s="2" t="s">
        <v>2742</v>
      </c>
      <c r="N41" s="2" t="s">
        <v>3597</v>
      </c>
      <c r="O41" s="2" t="s">
        <v>3549</v>
      </c>
      <c r="P41" s="2" t="s">
        <v>3591</v>
      </c>
      <c r="Q41" s="2" t="s">
        <v>3585</v>
      </c>
      <c r="R41" s="2">
        <v>46213</v>
      </c>
      <c r="S41" s="2" t="s">
        <v>3592</v>
      </c>
    </row>
    <row r="42" ht="57.6" spans="1:19">
      <c r="A42" s="2" t="s">
        <v>3598</v>
      </c>
      <c r="B42" s="2" t="s">
        <v>3583</v>
      </c>
      <c r="C42" s="2" t="s">
        <v>3599</v>
      </c>
      <c r="D42" s="2" t="s">
        <v>3585</v>
      </c>
      <c r="E42" s="2" t="s">
        <v>3586</v>
      </c>
      <c r="F42" s="2" t="s">
        <v>2754</v>
      </c>
      <c r="G42" s="2" t="s">
        <v>2754</v>
      </c>
      <c r="H42" s="2" t="s">
        <v>3587</v>
      </c>
      <c r="I42" s="2" t="s">
        <v>2748</v>
      </c>
      <c r="J42" s="2" t="s">
        <v>830</v>
      </c>
      <c r="K42" s="2" t="s">
        <v>3600</v>
      </c>
      <c r="L42" s="2" t="s">
        <v>2751</v>
      </c>
      <c r="M42" s="2" t="s">
        <v>3601</v>
      </c>
      <c r="N42" s="2" t="s">
        <v>3602</v>
      </c>
      <c r="O42" s="2" t="s">
        <v>3549</v>
      </c>
      <c r="P42" s="2" t="s">
        <v>3591</v>
      </c>
      <c r="Q42" s="2" t="s">
        <v>3585</v>
      </c>
      <c r="R42" s="2">
        <v>46213</v>
      </c>
      <c r="S42" s="2" t="s">
        <v>3592</v>
      </c>
    </row>
    <row r="43" ht="72" spans="1:19">
      <c r="A43" s="2" t="s">
        <v>3603</v>
      </c>
      <c r="B43" s="2" t="s">
        <v>3583</v>
      </c>
      <c r="C43" s="2" t="s">
        <v>3604</v>
      </c>
      <c r="D43" s="2" t="s">
        <v>3585</v>
      </c>
      <c r="E43" s="2" t="s">
        <v>3586</v>
      </c>
      <c r="F43" s="2" t="s">
        <v>833</v>
      </c>
      <c r="G43" s="2" t="s">
        <v>1212</v>
      </c>
      <c r="H43" s="2" t="s">
        <v>3587</v>
      </c>
      <c r="I43" s="2" t="s">
        <v>2778</v>
      </c>
      <c r="J43" s="2" t="s">
        <v>830</v>
      </c>
      <c r="K43" s="2" t="s">
        <v>3605</v>
      </c>
      <c r="L43" s="2" t="s">
        <v>3606</v>
      </c>
      <c r="M43" s="2" t="s">
        <v>2783</v>
      </c>
      <c r="N43" s="2" t="s">
        <v>3607</v>
      </c>
      <c r="O43" s="2" t="s">
        <v>3549</v>
      </c>
      <c r="P43" s="2" t="s">
        <v>3591</v>
      </c>
      <c r="Q43" s="2" t="s">
        <v>3585</v>
      </c>
      <c r="R43" s="2">
        <v>46213</v>
      </c>
      <c r="S43" s="2" t="s">
        <v>3592</v>
      </c>
    </row>
    <row r="44" ht="57.6" spans="1:19">
      <c r="A44" s="2" t="s">
        <v>3608</v>
      </c>
      <c r="B44" s="2" t="s">
        <v>3583</v>
      </c>
      <c r="C44" s="2" t="s">
        <v>3609</v>
      </c>
      <c r="D44" s="2" t="s">
        <v>3585</v>
      </c>
      <c r="E44" s="2" t="s">
        <v>3586</v>
      </c>
      <c r="F44" s="2" t="s">
        <v>1212</v>
      </c>
      <c r="G44" s="2" t="s">
        <v>2754</v>
      </c>
      <c r="H44" s="2" t="s">
        <v>3587</v>
      </c>
      <c r="I44" s="2" t="s">
        <v>2817</v>
      </c>
      <c r="J44" s="2" t="s">
        <v>830</v>
      </c>
      <c r="K44" s="2" t="s">
        <v>3610</v>
      </c>
      <c r="L44" s="2" t="s">
        <v>2820</v>
      </c>
      <c r="M44" s="2" t="s">
        <v>2821</v>
      </c>
      <c r="N44" s="2" t="s">
        <v>3611</v>
      </c>
      <c r="O44" s="2" t="s">
        <v>3549</v>
      </c>
      <c r="P44" s="2" t="s">
        <v>3591</v>
      </c>
      <c r="Q44" s="2" t="s">
        <v>3585</v>
      </c>
      <c r="R44" s="2">
        <v>46213</v>
      </c>
      <c r="S44" s="2" t="s">
        <v>3592</v>
      </c>
    </row>
    <row r="45" ht="72" spans="1:19">
      <c r="A45" s="2" t="s">
        <v>3612</v>
      </c>
      <c r="B45" s="2" t="s">
        <v>3583</v>
      </c>
      <c r="C45" s="2" t="s">
        <v>3613</v>
      </c>
      <c r="D45" s="2" t="s">
        <v>3585</v>
      </c>
      <c r="E45" s="2" t="s">
        <v>3586</v>
      </c>
      <c r="F45" s="2" t="s">
        <v>833</v>
      </c>
      <c r="G45" s="2" t="s">
        <v>1212</v>
      </c>
      <c r="H45" s="2" t="s">
        <v>3587</v>
      </c>
      <c r="I45" s="2" t="s">
        <v>2822</v>
      </c>
      <c r="J45" s="2" t="s">
        <v>830</v>
      </c>
      <c r="K45" s="2" t="s">
        <v>3614</v>
      </c>
      <c r="L45" s="2" t="s">
        <v>2825</v>
      </c>
      <c r="M45" s="2" t="s">
        <v>2827</v>
      </c>
      <c r="N45" s="2" t="s">
        <v>3615</v>
      </c>
      <c r="O45" s="2" t="s">
        <v>3549</v>
      </c>
      <c r="P45" s="2" t="s">
        <v>3591</v>
      </c>
      <c r="Q45" s="2" t="s">
        <v>3585</v>
      </c>
      <c r="R45" s="2">
        <v>46213</v>
      </c>
      <c r="S45" s="2" t="s">
        <v>3592</v>
      </c>
    </row>
    <row r="46" ht="57.6" spans="1:19">
      <c r="A46" s="2" t="s">
        <v>3616</v>
      </c>
      <c r="B46" s="2" t="s">
        <v>3583</v>
      </c>
      <c r="C46" s="2" t="s">
        <v>3617</v>
      </c>
      <c r="D46" s="2" t="s">
        <v>3585</v>
      </c>
      <c r="E46" s="2" t="s">
        <v>3586</v>
      </c>
      <c r="F46" s="2" t="s">
        <v>833</v>
      </c>
      <c r="G46" s="2" t="s">
        <v>1212</v>
      </c>
      <c r="H46" s="2" t="s">
        <v>3587</v>
      </c>
      <c r="I46" s="2" t="s">
        <v>2828</v>
      </c>
      <c r="J46" s="2" t="s">
        <v>830</v>
      </c>
      <c r="K46" s="2" t="s">
        <v>3618</v>
      </c>
      <c r="L46" s="2" t="s">
        <v>2831</v>
      </c>
      <c r="M46" s="2" t="s">
        <v>2833</v>
      </c>
      <c r="N46" s="2" t="s">
        <v>3619</v>
      </c>
      <c r="O46" s="2" t="s">
        <v>3549</v>
      </c>
      <c r="P46" s="2" t="s">
        <v>3591</v>
      </c>
      <c r="Q46" s="2" t="s">
        <v>3585</v>
      </c>
      <c r="R46" s="2">
        <v>46213</v>
      </c>
      <c r="S46" s="2" t="s">
        <v>3592</v>
      </c>
    </row>
    <row r="47" ht="57.6" spans="1:19">
      <c r="A47" s="2" t="s">
        <v>3620</v>
      </c>
      <c r="B47" s="2" t="s">
        <v>3583</v>
      </c>
      <c r="C47" s="2" t="s">
        <v>3621</v>
      </c>
      <c r="D47" s="2" t="s">
        <v>3585</v>
      </c>
      <c r="E47" s="2" t="s">
        <v>3586</v>
      </c>
      <c r="F47" s="2" t="s">
        <v>1212</v>
      </c>
      <c r="G47" s="2" t="s">
        <v>1212</v>
      </c>
      <c r="H47" s="2" t="s">
        <v>3587</v>
      </c>
      <c r="I47" s="2" t="s">
        <v>2834</v>
      </c>
      <c r="J47" s="2" t="s">
        <v>830</v>
      </c>
      <c r="K47" s="2" t="s">
        <v>3622</v>
      </c>
      <c r="L47" s="2" t="s">
        <v>2837</v>
      </c>
      <c r="M47" s="2" t="s">
        <v>2839</v>
      </c>
      <c r="N47" s="2" t="s">
        <v>3623</v>
      </c>
      <c r="O47" s="2" t="s">
        <v>3549</v>
      </c>
      <c r="P47" s="2" t="s">
        <v>3591</v>
      </c>
      <c r="Q47" s="2" t="s">
        <v>3585</v>
      </c>
      <c r="R47" s="2">
        <v>46213</v>
      </c>
      <c r="S47" s="2" t="s">
        <v>3592</v>
      </c>
    </row>
    <row r="48" ht="57.6" spans="1:19">
      <c r="A48" s="2" t="s">
        <v>3624</v>
      </c>
      <c r="B48" s="2" t="s">
        <v>3583</v>
      </c>
      <c r="C48" s="2" t="s">
        <v>3625</v>
      </c>
      <c r="D48" s="2" t="s">
        <v>3585</v>
      </c>
      <c r="E48" s="2" t="s">
        <v>3586</v>
      </c>
      <c r="F48" s="2" t="s">
        <v>2754</v>
      </c>
      <c r="G48" s="2" t="s">
        <v>2754</v>
      </c>
      <c r="H48" s="2" t="s">
        <v>3587</v>
      </c>
      <c r="I48" s="2" t="s">
        <v>2840</v>
      </c>
      <c r="J48" s="2" t="s">
        <v>830</v>
      </c>
      <c r="K48" s="2" t="s">
        <v>3626</v>
      </c>
      <c r="L48" s="2" t="s">
        <v>2843</v>
      </c>
      <c r="M48" s="2" t="s">
        <v>2845</v>
      </c>
      <c r="N48" s="2" t="s">
        <v>3627</v>
      </c>
      <c r="O48" s="2" t="s">
        <v>3549</v>
      </c>
      <c r="P48" s="2" t="s">
        <v>3591</v>
      </c>
      <c r="Q48" s="2" t="s">
        <v>3585</v>
      </c>
      <c r="R48" s="2">
        <v>46213</v>
      </c>
      <c r="S48" s="2" t="s">
        <v>3592</v>
      </c>
    </row>
    <row r="49" ht="57.6" spans="1:19">
      <c r="A49" s="2" t="s">
        <v>3628</v>
      </c>
      <c r="B49" s="2" t="s">
        <v>3629</v>
      </c>
      <c r="C49" s="2" t="s">
        <v>3630</v>
      </c>
      <c r="D49" s="2" t="s">
        <v>3585</v>
      </c>
      <c r="E49" s="2" t="s">
        <v>3586</v>
      </c>
      <c r="F49" s="2" t="s">
        <v>833</v>
      </c>
      <c r="G49" s="2" t="s">
        <v>833</v>
      </c>
      <c r="H49" s="2" t="s">
        <v>3587</v>
      </c>
      <c r="I49" s="2" t="s">
        <v>2870</v>
      </c>
      <c r="J49" s="2" t="s">
        <v>830</v>
      </c>
      <c r="K49" s="2" t="s">
        <v>3631</v>
      </c>
      <c r="L49" s="2" t="s">
        <v>3632</v>
      </c>
      <c r="M49" s="2" t="s">
        <v>2874</v>
      </c>
      <c r="N49" s="2" t="s">
        <v>3633</v>
      </c>
      <c r="O49" s="2" t="s">
        <v>3549</v>
      </c>
      <c r="P49" s="2" t="s">
        <v>3591</v>
      </c>
      <c r="Q49" s="2" t="s">
        <v>3585</v>
      </c>
      <c r="R49" s="2">
        <v>46213</v>
      </c>
      <c r="S49" s="2" t="s">
        <v>3592</v>
      </c>
    </row>
    <row r="50" ht="72" spans="1:19">
      <c r="A50" s="2" t="s">
        <v>3634</v>
      </c>
      <c r="B50" s="2" t="s">
        <v>3629</v>
      </c>
      <c r="C50" s="2" t="s">
        <v>3635</v>
      </c>
      <c r="D50" s="2" t="s">
        <v>3585</v>
      </c>
      <c r="E50" s="2" t="s">
        <v>3586</v>
      </c>
      <c r="F50" s="2" t="s">
        <v>833</v>
      </c>
      <c r="G50" s="2" t="s">
        <v>833</v>
      </c>
      <c r="H50" s="2" t="s">
        <v>3587</v>
      </c>
      <c r="I50" s="2" t="s">
        <v>2880</v>
      </c>
      <c r="J50" s="2" t="s">
        <v>830</v>
      </c>
      <c r="K50" s="2" t="s">
        <v>3636</v>
      </c>
      <c r="L50" s="2" t="s">
        <v>3637</v>
      </c>
      <c r="M50" s="2" t="s">
        <v>2884</v>
      </c>
      <c r="N50" s="2" t="s">
        <v>3638</v>
      </c>
      <c r="O50" s="2" t="s">
        <v>3549</v>
      </c>
      <c r="P50" s="2" t="s">
        <v>3591</v>
      </c>
      <c r="Q50" s="2" t="s">
        <v>3585</v>
      </c>
      <c r="R50" s="2">
        <v>46213</v>
      </c>
      <c r="S50" s="2" t="s">
        <v>3592</v>
      </c>
    </row>
    <row r="51" ht="57.6" spans="1:19">
      <c r="A51" s="2" t="s">
        <v>3639</v>
      </c>
      <c r="B51" s="2" t="s">
        <v>3629</v>
      </c>
      <c r="C51" s="2" t="s">
        <v>3640</v>
      </c>
      <c r="D51" s="2" t="s">
        <v>3585</v>
      </c>
      <c r="E51" s="2" t="s">
        <v>3586</v>
      </c>
      <c r="F51" s="2" t="s">
        <v>1212</v>
      </c>
      <c r="G51" s="2" t="s">
        <v>1212</v>
      </c>
      <c r="H51" s="2" t="s">
        <v>3587</v>
      </c>
      <c r="I51" s="2" t="s">
        <v>2922</v>
      </c>
      <c r="J51" s="2" t="s">
        <v>830</v>
      </c>
      <c r="K51" s="2" t="s">
        <v>3641</v>
      </c>
      <c r="L51" s="2" t="s">
        <v>3642</v>
      </c>
      <c r="M51" s="2" t="s">
        <v>3643</v>
      </c>
      <c r="N51" s="2" t="s">
        <v>3644</v>
      </c>
      <c r="O51" s="2" t="s">
        <v>3549</v>
      </c>
      <c r="P51" s="2" t="s">
        <v>3591</v>
      </c>
      <c r="Q51" s="2" t="s">
        <v>3585</v>
      </c>
      <c r="R51" s="2">
        <v>46213</v>
      </c>
      <c r="S51" s="2" t="s">
        <v>3592</v>
      </c>
    </row>
    <row r="52" ht="86.4" spans="1:19">
      <c r="A52" s="2" t="s">
        <v>3645</v>
      </c>
      <c r="B52" s="2" t="s">
        <v>3629</v>
      </c>
      <c r="C52" s="2" t="s">
        <v>3646</v>
      </c>
      <c r="D52" s="2" t="s">
        <v>3585</v>
      </c>
      <c r="E52" s="2" t="s">
        <v>3586</v>
      </c>
      <c r="F52" s="2" t="s">
        <v>833</v>
      </c>
      <c r="G52" s="2" t="s">
        <v>833</v>
      </c>
      <c r="H52" s="2" t="s">
        <v>3587</v>
      </c>
      <c r="I52" s="2" t="s">
        <v>2927</v>
      </c>
      <c r="J52" s="2" t="s">
        <v>830</v>
      </c>
      <c r="K52" s="2" t="s">
        <v>3647</v>
      </c>
      <c r="L52" s="2" t="s">
        <v>3648</v>
      </c>
      <c r="M52" s="2" t="s">
        <v>2932</v>
      </c>
      <c r="N52" s="2" t="s">
        <v>3649</v>
      </c>
      <c r="O52" s="2" t="s">
        <v>3549</v>
      </c>
      <c r="P52" s="2" t="s">
        <v>3591</v>
      </c>
      <c r="Q52" s="2" t="s">
        <v>3585</v>
      </c>
      <c r="R52" s="2">
        <v>46213</v>
      </c>
      <c r="S52" s="2" t="s">
        <v>3592</v>
      </c>
    </row>
    <row r="53" ht="57.6" spans="1:19">
      <c r="A53" s="2" t="s">
        <v>3650</v>
      </c>
      <c r="B53" s="2" t="s">
        <v>3629</v>
      </c>
      <c r="C53" s="2" t="s">
        <v>3651</v>
      </c>
      <c r="D53" s="2" t="s">
        <v>3585</v>
      </c>
      <c r="E53" s="2" t="s">
        <v>3586</v>
      </c>
      <c r="F53" s="2" t="s">
        <v>1212</v>
      </c>
      <c r="G53" s="2" t="s">
        <v>1212</v>
      </c>
      <c r="H53" s="2" t="s">
        <v>3587</v>
      </c>
      <c r="I53" s="2" t="s">
        <v>2938</v>
      </c>
      <c r="J53" s="2" t="s">
        <v>830</v>
      </c>
      <c r="K53" s="2" t="s">
        <v>3652</v>
      </c>
      <c r="L53" s="2" t="s">
        <v>3653</v>
      </c>
      <c r="M53" s="2" t="s">
        <v>2943</v>
      </c>
      <c r="N53" s="2" t="s">
        <v>3654</v>
      </c>
      <c r="O53" s="2" t="s">
        <v>3549</v>
      </c>
      <c r="P53" s="2" t="s">
        <v>3591</v>
      </c>
      <c r="Q53" s="2" t="s">
        <v>3585</v>
      </c>
      <c r="R53" s="2">
        <v>46213</v>
      </c>
      <c r="S53" s="2" t="s">
        <v>3592</v>
      </c>
    </row>
    <row r="54" ht="57.6" spans="1:19">
      <c r="A54" s="2" t="s">
        <v>3655</v>
      </c>
      <c r="B54" s="2" t="s">
        <v>3629</v>
      </c>
      <c r="C54" s="2" t="s">
        <v>3656</v>
      </c>
      <c r="D54" s="2" t="s">
        <v>3585</v>
      </c>
      <c r="E54" s="2" t="s">
        <v>3586</v>
      </c>
      <c r="F54" s="2" t="s">
        <v>2754</v>
      </c>
      <c r="G54" s="2" t="s">
        <v>2754</v>
      </c>
      <c r="H54" s="2" t="s">
        <v>3587</v>
      </c>
      <c r="I54" s="2" t="s">
        <v>2966</v>
      </c>
      <c r="J54" s="2" t="s">
        <v>830</v>
      </c>
      <c r="K54" s="2" t="s">
        <v>3657</v>
      </c>
      <c r="L54" s="2" t="s">
        <v>3658</v>
      </c>
      <c r="M54" s="2" t="s">
        <v>2970</v>
      </c>
      <c r="N54" s="2" t="s">
        <v>3659</v>
      </c>
      <c r="O54" s="2" t="s">
        <v>3549</v>
      </c>
      <c r="P54" s="2" t="s">
        <v>3591</v>
      </c>
      <c r="Q54" s="2" t="s">
        <v>3585</v>
      </c>
      <c r="R54" s="2">
        <v>46213</v>
      </c>
      <c r="S54" s="2" t="s">
        <v>3592</v>
      </c>
    </row>
    <row r="55" ht="72" spans="1:19">
      <c r="A55" s="2" t="s">
        <v>3660</v>
      </c>
      <c r="B55" s="2" t="s">
        <v>3629</v>
      </c>
      <c r="C55" s="2" t="s">
        <v>3661</v>
      </c>
      <c r="D55" s="2" t="s">
        <v>3585</v>
      </c>
      <c r="E55" s="2" t="s">
        <v>3586</v>
      </c>
      <c r="F55" s="2" t="s">
        <v>1212</v>
      </c>
      <c r="G55" s="2" t="s">
        <v>1212</v>
      </c>
      <c r="H55" s="2" t="s">
        <v>3587</v>
      </c>
      <c r="I55" s="2" t="s">
        <v>2971</v>
      </c>
      <c r="J55" s="2" t="s">
        <v>830</v>
      </c>
      <c r="K55" s="2" t="s">
        <v>3662</v>
      </c>
      <c r="L55" s="2" t="s">
        <v>3663</v>
      </c>
      <c r="M55" s="2" t="s">
        <v>2976</v>
      </c>
      <c r="N55" s="2" t="s">
        <v>3664</v>
      </c>
      <c r="O55" s="2" t="s">
        <v>3549</v>
      </c>
      <c r="P55" s="2" t="s">
        <v>3591</v>
      </c>
      <c r="Q55" s="2" t="s">
        <v>3585</v>
      </c>
      <c r="R55" s="2">
        <v>46213</v>
      </c>
      <c r="S55" s="2" t="s">
        <v>3592</v>
      </c>
    </row>
  </sheetData>
  <conditionalFormatting sqref="F2:F55">
    <cfRule type="cellIs" dxfId="4" priority="1" operator="equal">
      <formula>"Critical"</formula>
    </cfRule>
    <cfRule type="cellIs" dxfId="1" priority="2" operator="equal">
      <formula>"High"</formula>
    </cfRule>
    <cfRule type="cellIs" dxfId="2" priority="3" operator="equal">
      <formula>"Medium"</formula>
    </cfRule>
    <cfRule type="cellIs" dxfId="0" priority="4" operator="equal">
      <formula>"Low"</formula>
    </cfRule>
  </conditionalFormatting>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45"/>
  <sheetViews>
    <sheetView workbookViewId="0">
      <pane ySplit="1" topLeftCell="A2" activePane="bottomLeft" state="frozen"/>
      <selection/>
      <selection pane="bottomLeft" activeCell="F19" sqref="F19"/>
    </sheetView>
  </sheetViews>
  <sheetFormatPr defaultColWidth="9" defaultRowHeight="14.4"/>
  <cols>
    <col min="1" max="1" width="16" customWidth="1"/>
    <col min="2" max="2" width="20" customWidth="1"/>
    <col min="3" max="3" width="10" customWidth="1"/>
    <col min="4" max="4" width="40" customWidth="1"/>
    <col min="5" max="8" width="10" customWidth="1"/>
    <col min="9" max="9" width="14" customWidth="1"/>
    <col min="10" max="10" width="16" customWidth="1"/>
    <col min="11" max="11" width="12" customWidth="1"/>
  </cols>
  <sheetData>
    <row r="1" ht="30" customHeight="1" spans="1:11">
      <c r="A1" s="1" t="s">
        <v>46</v>
      </c>
      <c r="B1" s="1" t="s">
        <v>48</v>
      </c>
      <c r="C1" s="1" t="s">
        <v>49</v>
      </c>
      <c r="D1" s="1" t="s">
        <v>3665</v>
      </c>
      <c r="E1" s="1" t="s">
        <v>3666</v>
      </c>
      <c r="F1" s="1" t="s">
        <v>22</v>
      </c>
      <c r="G1" s="1" t="s">
        <v>23</v>
      </c>
      <c r="H1" s="1" t="s">
        <v>24</v>
      </c>
      <c r="I1" s="1" t="s">
        <v>948</v>
      </c>
      <c r="J1" s="1" t="s">
        <v>3667</v>
      </c>
      <c r="K1" s="1" t="s">
        <v>3668</v>
      </c>
    </row>
    <row r="2" ht="409.5" spans="1:11">
      <c r="A2" s="2" t="s">
        <v>52</v>
      </c>
      <c r="B2" s="2" t="s">
        <v>54</v>
      </c>
      <c r="C2" s="2" t="s">
        <v>55</v>
      </c>
      <c r="D2" s="2" t="str">
        <f>_xlfn.TEXTJOIN(", ",TRUE,IF(Test_Cases!$C$2:$C$368=A2,Test_Cases!$A$2:$A$368,""))</f>
        <v>tc_001, tc_002, tc_003, tc_004, tc_005, tc_006, tc_007, tc_008, tc_009, tc_010, tc_011, tc_012, tc_013, tc_014, tc_015, tc_016, tc_017, tc_018, tc_019, tc_020, tc_021, tc_022, tc_023, tc_024, tc_025, tc_026, tc_027, tc_028, tc_029, tc_030, tc_031, tc_032, tc_033, tc_034, tc_035, tc_036, tc_037, tc_038, tc_039, tc_040, tc_041, tc_042, tc_043, tc_044, tc_045, tc_046, tc_047, TC_QB_001, TC_QB_002, TC_QB_003, TC_QB_004, TC_QB_005, TC_QB_006, TC_QB_007, TC_QB_008, TC_QB_009, TC_QB_010, TC_QB_011, TC_QB_012, TC_QB_013, TC_QB_014, TC_QB_015, TC_QB_016, TC_QB_017, TC_QB_018, TC_QB_019, TC_QB_020, TC_QB_021, TC_QB_022, TC_QB_023, TC_QB_024, TC_QB_025, TC_QB_026, TC_QB_027, TC_QB_028, TC_QB_029, TC_QB_030, TC_QB_031, TC_QB_032, TC_QB_033, TC_QB_034, TC_QB_035, TC_QB_036, TC_QB_037, TC_QB_038, TC_QB_039, TC_EXM_040, TC_EXM_041, TC_EXM_042, TC_EXM_043, TC_EXM_044, TC_EXM_045, TC_EXM_046, TC_EXM_047, TC_EXM_048, TC_EXM_049, TC_EXM_050, TC_EXM_051, TC_EXM_052, TC_EXM_053, TC_EXM_054, TC_EXM_055, TC_EXM_056, TC_EXM_057, TC_EXM_058, TC_EXM_059, TC_EXM_060, TC_EXM_061, TC_EXM_062, TC_EXM_063, TC_EXM_064, TC_EXM_065, TC_EXM_066, TC_EXM_067, TC_EXM_068, TC_EXM_069, TC_EXM_070, TC_EXM_071, TC_EXM_072, TC_EXM_073, TC_EXM_074, TC_EXM_075, TC_EXM_076, TC_EXM_077, TC_EXM_078, TC_EXM_079, TC_EXM_080, TC_EXM_081, TC_EXM_082, TC_EXM_083, TC_EXM_084, TC_EXM_085, TC_EXM_086, TC_EXM_087, TC_EXM_088, TC_EXM_089, TC_EXM_090, TC_EXM_091, TC_EXM_092, TC_EXM_093, TC_EXM_094, TC_EXM_095, TC_EXM_096, TC_EXM_097, TC_EXM_098, TC_EXM_099, TC_EXM_100, TC_EXM_101, TC_EXM_102, TC_EXM_103, TC_EXM_104, TC_EXM_105, TC_EXM_106, TC_EXM_107, TC_EXM_108, TC_EXM_109, TC_EXM_110, tc-01, tc-02, tc-03, tc-04, tc-05, tc-06, tc-07, tc-08, tc-10, tc-11, tc-12, tc-13, tc-14, tc-15, tc-16, tc-17, tc-18, tc-19, tc-20, tc-21, tc-22, tc-23, tc-24, tc-25, tc-26, tc-27, tc-28, tc-29, tc-30, tc-31, tc-32, tc-33, tc-34, tc-35, tc-36, tc-37, tc-38, tc-39, tc-40, tc-41, tc-42, tc-43, tc-44, tc-45, tc-46, tc-47, tc-48, tc-49, tc-50, tc-51, tc-52, tc-53, tc-54, tc-55, tc-56, tc-57, tc-58, tc-59, tc-60, tc-61, tc-62, tc-63, tc-64, tc-65, tc-66, tc-67, tc-68, tc-69, tc-70, tc-71, tc-72, tc-73, tc-74, tc-75, tc-76, tc-77, tc-78, tc-79, tc-80, tc-81, tc-82, tc-83, tc-84, tc-85, tc-86, tc-87, EC-01, EC-02, EC-03, EC-04, EC-05, EC-06, EC-07, EC-08, EC-09, EC-10, EC-11, EC-12, EC-13, EC-14, EC-15, EC-16, EC-17, EC-18, EC-19, EC-20, EC-21, EC-22, EC-23, EC-24, ES-01, ES-02, ES-03, ES-04, ES-05, ES-06, ES-07, ES-08, ES-09, ES-10, ES-11, ES-12, ES-13, ES-14, ES-15, ES-16, ES-17, ES-18, ES-19, ES-20, ES-21, ES-22, ES-23, LPS-01, LPS-02, LPS-03, LPS-04, LPS-05, LPS-06, LPS-07, LPS-08, LPS-09, LPS-10, LPS-11, LPS-12, LPS-13, LPS-14, LPS-15, LPS-16, LPS-17, LPS-18, LPS-19, LPS-20, LPS-21, LPS-22, LPS-23, LPS-24, LPS-25, LPS-26, LPS-27, LPS-28, LPF-01, LPF-02, LPF-03, LPF-04, LPF-05, LPF-06, LPF-07, LPF-08, LPF-09, LPF-10, SUB-01, SUB-02, SUB-03, SUB-04, SUB-05, SUB-06, SUB-07, SUB-08, REN-01, REN-02, REN-03, REN-04, REN-05, REN-07, REN-08, CQ-01, CQ-02, CQ-03, CQ-04, CQ-05, CQ-06, CQ-07, CQ-08, CQ-09, CQ-10, CQ-11, CQ-12, CQ-13, CQ-14, CQ-15, CQ-16, CQ-17, CQ-18, CQ-19, CQ-20, CQ-21, CQ-22, CQ-23, CQ-24</v>
      </c>
      <c r="E2" s="2">
        <f>COUNTIF(Test_Cases!$C$2:$C$368,A2)</f>
        <v>8</v>
      </c>
      <c r="F2" s="2">
        <f>COUNTIFS(Test_Cases!$C$2:$C$368,A2,Test_Cases!$L$2:$L$368,"Passed")</f>
        <v>7</v>
      </c>
      <c r="G2" s="2">
        <f>COUNTIFS(Test_Cases!$C$2:$C$368,A2,Test_Cases!$L$2:$L$368,"Failed")</f>
        <v>1</v>
      </c>
      <c r="H2" s="2">
        <f>COUNTIFS(Test_Cases!$C$2:$C$368,A2,Test_Cases!$L$2:$L$368,"Blocked")</f>
        <v>0</v>
      </c>
      <c r="I2" s="2">
        <f>COUNTIFS(Test_Cases!$C$2:$C$368,A2,Test_Cases!$L$2:$L$368,"Not_Executed")</f>
        <v>0</v>
      </c>
      <c r="J2" s="2" t="str">
        <f t="shared" ref="J2:J65" si="0">IF(E2=0,"Not Covered",IF(G2&gt;0,"Failing",IF(F2=E2,"Fully Covered","Partial")))</f>
        <v>Failing</v>
      </c>
      <c r="K2" s="2">
        <f>COUNTIF(Bug_Report!$J$2:$J$55,"*"&amp;A2&amp;"*")</f>
        <v>1</v>
      </c>
    </row>
    <row r="3" spans="1:11">
      <c r="A3" s="2" t="s">
        <v>57</v>
      </c>
      <c r="B3" s="2" t="s">
        <v>54</v>
      </c>
      <c r="C3" s="2" t="s">
        <v>55</v>
      </c>
      <c r="D3" s="2" t="str">
        <f>_xlfn.TEXTJOIN(", ",TRUE,IF(Test_Cases!$C$2:$C$368=A3,Test_Cases!$A$2:$A$368,""))</f>
        <v/>
      </c>
      <c r="E3" s="2">
        <f>COUNTIF(Test_Cases!$C$2:$C$368,A3)</f>
        <v>2</v>
      </c>
      <c r="F3" s="2">
        <f>COUNTIFS(Test_Cases!$C$2:$C$368,A3,Test_Cases!$L$2:$L$368,"Passed")</f>
        <v>2</v>
      </c>
      <c r="G3" s="2">
        <f>COUNTIFS(Test_Cases!$C$2:$C$368,A3,Test_Cases!$L$2:$L$368,"Failed")</f>
        <v>0</v>
      </c>
      <c r="H3" s="2">
        <f>COUNTIFS(Test_Cases!$C$2:$C$368,A3,Test_Cases!$L$2:$L$368,"Blocked")</f>
        <v>0</v>
      </c>
      <c r="I3" s="2">
        <f>COUNTIFS(Test_Cases!$C$2:$C$368,A3,Test_Cases!$L$2:$L$368,"Not_Executed")</f>
        <v>0</v>
      </c>
      <c r="J3" s="2" t="str">
        <f t="shared" si="0"/>
        <v>Fully Covered</v>
      </c>
      <c r="K3" s="2">
        <f>COUNTIF(Bug_Report!$J$2:$J$55,"*"&amp;A3&amp;"*")</f>
        <v>0</v>
      </c>
    </row>
    <row r="4" spans="1:11">
      <c r="A4" s="2" t="s">
        <v>59</v>
      </c>
      <c r="B4" s="2" t="s">
        <v>54</v>
      </c>
      <c r="C4" s="2" t="s">
        <v>55</v>
      </c>
      <c r="D4" s="2" t="str">
        <f>_xlfn.TEXTJOIN(", ",TRUE,IF(Test_Cases!$C$2:$C$368=A4,Test_Cases!$A$2:$A$368,""))</f>
        <v/>
      </c>
      <c r="E4" s="2">
        <f>COUNTIF(Test_Cases!$C$2:$C$368,A4)</f>
        <v>5</v>
      </c>
      <c r="F4" s="2">
        <f>COUNTIFS(Test_Cases!$C$2:$C$368,A4,Test_Cases!$L$2:$L$368,"Passed")</f>
        <v>4</v>
      </c>
      <c r="G4" s="2">
        <f>COUNTIFS(Test_Cases!$C$2:$C$368,A4,Test_Cases!$L$2:$L$368,"Failed")</f>
        <v>1</v>
      </c>
      <c r="H4" s="2">
        <f>COUNTIFS(Test_Cases!$C$2:$C$368,A4,Test_Cases!$L$2:$L$368,"Blocked")</f>
        <v>0</v>
      </c>
      <c r="I4" s="2">
        <f>COUNTIFS(Test_Cases!$C$2:$C$368,A4,Test_Cases!$L$2:$L$368,"Not_Executed")</f>
        <v>0</v>
      </c>
      <c r="J4" s="2" t="str">
        <f t="shared" si="0"/>
        <v>Failing</v>
      </c>
      <c r="K4" s="2">
        <f>COUNTIF(Bug_Report!$J$2:$J$55,"*"&amp;A4&amp;"*")</f>
        <v>1</v>
      </c>
    </row>
    <row r="5" spans="1:11">
      <c r="A5" s="2" t="s">
        <v>61</v>
      </c>
      <c r="B5" s="2" t="s">
        <v>54</v>
      </c>
      <c r="C5" s="2" t="s">
        <v>55</v>
      </c>
      <c r="D5" s="2" t="str">
        <f>_xlfn.TEXTJOIN(", ",TRUE,IF(Test_Cases!$C$2:$C$368=A5,Test_Cases!$A$2:$A$368,""))</f>
        <v/>
      </c>
      <c r="E5" s="2">
        <f>COUNTIF(Test_Cases!$C$2:$C$368,A5)</f>
        <v>5</v>
      </c>
      <c r="F5" s="2">
        <f>COUNTIFS(Test_Cases!$C$2:$C$368,A5,Test_Cases!$L$2:$L$368,"Passed")</f>
        <v>1</v>
      </c>
      <c r="G5" s="2">
        <f>COUNTIFS(Test_Cases!$C$2:$C$368,A5,Test_Cases!$L$2:$L$368,"Failed")</f>
        <v>0</v>
      </c>
      <c r="H5" s="2">
        <f>COUNTIFS(Test_Cases!$C$2:$C$368,A5,Test_Cases!$L$2:$L$368,"Blocked")</f>
        <v>0</v>
      </c>
      <c r="I5" s="2">
        <f>COUNTIFS(Test_Cases!$C$2:$C$368,A5,Test_Cases!$L$2:$L$368,"Not_Executed")</f>
        <v>4</v>
      </c>
      <c r="J5" s="2" t="str">
        <f t="shared" si="0"/>
        <v>Partial</v>
      </c>
      <c r="K5" s="2">
        <f>COUNTIF(Bug_Report!$J$2:$J$55,"*"&amp;A5&amp;"*")</f>
        <v>0</v>
      </c>
    </row>
    <row r="6" spans="1:11">
      <c r="A6" s="2" t="s">
        <v>63</v>
      </c>
      <c r="B6" s="2" t="s">
        <v>54</v>
      </c>
      <c r="C6" s="2" t="s">
        <v>55</v>
      </c>
      <c r="D6" s="2" t="str">
        <f>_xlfn.TEXTJOIN(", ",TRUE,IF(Test_Cases!$C$2:$C$368=A6,Test_Cases!$A$2:$A$368,""))</f>
        <v/>
      </c>
      <c r="E6" s="2">
        <f>COUNTIF(Test_Cases!$C$2:$C$368,A6)</f>
        <v>1</v>
      </c>
      <c r="F6" s="2">
        <f>COUNTIFS(Test_Cases!$C$2:$C$368,A6,Test_Cases!$L$2:$L$368,"Passed")</f>
        <v>0</v>
      </c>
      <c r="G6" s="2">
        <f>COUNTIFS(Test_Cases!$C$2:$C$368,A6,Test_Cases!$L$2:$L$368,"Failed")</f>
        <v>0</v>
      </c>
      <c r="H6" s="2">
        <f>COUNTIFS(Test_Cases!$C$2:$C$368,A6,Test_Cases!$L$2:$L$368,"Blocked")</f>
        <v>0</v>
      </c>
      <c r="I6" s="2">
        <f>COUNTIFS(Test_Cases!$C$2:$C$368,A6,Test_Cases!$L$2:$L$368,"Not_Executed")</f>
        <v>1</v>
      </c>
      <c r="J6" s="2" t="str">
        <f t="shared" si="0"/>
        <v>Partial</v>
      </c>
      <c r="K6" s="2">
        <f>COUNTIF(Bug_Report!$J$2:$J$55,"*"&amp;A6&amp;"*")</f>
        <v>0</v>
      </c>
    </row>
    <row r="7" spans="1:11">
      <c r="A7" s="2" t="s">
        <v>65</v>
      </c>
      <c r="B7" s="2" t="s">
        <v>54</v>
      </c>
      <c r="C7" s="2" t="s">
        <v>55</v>
      </c>
      <c r="D7" s="2" t="str">
        <f>_xlfn.TEXTJOIN(", ",TRUE,IF(Test_Cases!$C$2:$C$368=A7,Test_Cases!$A$2:$A$368,""))</f>
        <v/>
      </c>
      <c r="E7" s="2">
        <f>COUNTIF(Test_Cases!$C$2:$C$368,A7)</f>
        <v>4</v>
      </c>
      <c r="F7" s="2">
        <f>COUNTIFS(Test_Cases!$C$2:$C$368,A7,Test_Cases!$L$2:$L$368,"Passed")</f>
        <v>3</v>
      </c>
      <c r="G7" s="2">
        <f>COUNTIFS(Test_Cases!$C$2:$C$368,A7,Test_Cases!$L$2:$L$368,"Failed")</f>
        <v>1</v>
      </c>
      <c r="H7" s="2">
        <f>COUNTIFS(Test_Cases!$C$2:$C$368,A7,Test_Cases!$L$2:$L$368,"Blocked")</f>
        <v>0</v>
      </c>
      <c r="I7" s="2">
        <f>COUNTIFS(Test_Cases!$C$2:$C$368,A7,Test_Cases!$L$2:$L$368,"Not_Executed")</f>
        <v>0</v>
      </c>
      <c r="J7" s="2" t="str">
        <f t="shared" si="0"/>
        <v>Failing</v>
      </c>
      <c r="K7" s="2">
        <f>COUNTIF(Bug_Report!$J$2:$J$55,"*"&amp;A7&amp;"*")</f>
        <v>1</v>
      </c>
    </row>
    <row r="8" spans="1:11">
      <c r="A8" s="2" t="s">
        <v>67</v>
      </c>
      <c r="B8" s="2" t="s">
        <v>54</v>
      </c>
      <c r="C8" s="2" t="s">
        <v>55</v>
      </c>
      <c r="D8" s="2" t="str">
        <f>_xlfn.TEXTJOIN(", ",TRUE,IF(Test_Cases!$C$2:$C$368=A8,Test_Cases!$A$2:$A$368,""))</f>
        <v/>
      </c>
      <c r="E8" s="2">
        <f>COUNTIF(Test_Cases!$C$2:$C$368,A8)</f>
        <v>0</v>
      </c>
      <c r="F8" s="2">
        <f>COUNTIFS(Test_Cases!$C$2:$C$368,A8,Test_Cases!$L$2:$L$368,"Passed")</f>
        <v>0</v>
      </c>
      <c r="G8" s="2">
        <f>COUNTIFS(Test_Cases!$C$2:$C$368,A8,Test_Cases!$L$2:$L$368,"Failed")</f>
        <v>0</v>
      </c>
      <c r="H8" s="2">
        <f>COUNTIFS(Test_Cases!$C$2:$C$368,A8,Test_Cases!$L$2:$L$368,"Blocked")</f>
        <v>0</v>
      </c>
      <c r="I8" s="2">
        <f>COUNTIFS(Test_Cases!$C$2:$C$368,A8,Test_Cases!$L$2:$L$368,"Not_Executed")</f>
        <v>0</v>
      </c>
      <c r="J8" s="2" t="str">
        <f t="shared" si="0"/>
        <v>Not Covered</v>
      </c>
      <c r="K8" s="2">
        <f>COUNTIF(Bug_Report!$J$2:$J$55,"*"&amp;A8&amp;"*")</f>
        <v>0</v>
      </c>
    </row>
    <row r="9" spans="1:11">
      <c r="A9" s="2" t="s">
        <v>69</v>
      </c>
      <c r="B9" s="2" t="s">
        <v>54</v>
      </c>
      <c r="C9" s="2" t="s">
        <v>55</v>
      </c>
      <c r="D9" s="2" t="str">
        <f>_xlfn.TEXTJOIN(", ",TRUE,IF(Test_Cases!$C$2:$C$368=A9,Test_Cases!$A$2:$A$368,""))</f>
        <v/>
      </c>
      <c r="E9" s="2">
        <f>COUNTIF(Test_Cases!$C$2:$C$368,A9)</f>
        <v>2</v>
      </c>
      <c r="F9" s="2">
        <f>COUNTIFS(Test_Cases!$C$2:$C$368,A9,Test_Cases!$L$2:$L$368,"Passed")</f>
        <v>1</v>
      </c>
      <c r="G9" s="2">
        <f>COUNTIFS(Test_Cases!$C$2:$C$368,A9,Test_Cases!$L$2:$L$368,"Failed")</f>
        <v>0</v>
      </c>
      <c r="H9" s="2">
        <f>COUNTIFS(Test_Cases!$C$2:$C$368,A9,Test_Cases!$L$2:$L$368,"Blocked")</f>
        <v>0</v>
      </c>
      <c r="I9" s="2">
        <f>COUNTIFS(Test_Cases!$C$2:$C$368,A9,Test_Cases!$L$2:$L$368,"Not_Executed")</f>
        <v>1</v>
      </c>
      <c r="J9" s="2" t="str">
        <f t="shared" si="0"/>
        <v>Partial</v>
      </c>
      <c r="K9" s="2">
        <f>COUNTIF(Bug_Report!$J$2:$J$55,"*"&amp;A9&amp;"*")</f>
        <v>0</v>
      </c>
    </row>
    <row r="10" spans="1:11">
      <c r="A10" s="2" t="s">
        <v>71</v>
      </c>
      <c r="B10" s="2" t="s">
        <v>54</v>
      </c>
      <c r="C10" s="2" t="s">
        <v>55</v>
      </c>
      <c r="D10" s="2" t="str">
        <f>_xlfn.TEXTJOIN(", ",TRUE,IF(Test_Cases!$C$2:$C$368=A10,Test_Cases!$A$2:$A$368,""))</f>
        <v/>
      </c>
      <c r="E10" s="2">
        <f>COUNTIF(Test_Cases!$C$2:$C$368,A10)</f>
        <v>0</v>
      </c>
      <c r="F10" s="2">
        <f>COUNTIFS(Test_Cases!$C$2:$C$368,A10,Test_Cases!$L$2:$L$368,"Passed")</f>
        <v>0</v>
      </c>
      <c r="G10" s="2">
        <f>COUNTIFS(Test_Cases!$C$2:$C$368,A10,Test_Cases!$L$2:$L$368,"Failed")</f>
        <v>0</v>
      </c>
      <c r="H10" s="2">
        <f>COUNTIFS(Test_Cases!$C$2:$C$368,A10,Test_Cases!$L$2:$L$368,"Blocked")</f>
        <v>0</v>
      </c>
      <c r="I10" s="2">
        <f>COUNTIFS(Test_Cases!$C$2:$C$368,A10,Test_Cases!$L$2:$L$368,"Not_Executed")</f>
        <v>0</v>
      </c>
      <c r="J10" s="2" t="str">
        <f t="shared" si="0"/>
        <v>Not Covered</v>
      </c>
      <c r="K10" s="2">
        <f>COUNTIF(Bug_Report!$J$2:$J$55,"*"&amp;A10&amp;"*")</f>
        <v>0</v>
      </c>
    </row>
    <row r="11" spans="1:11">
      <c r="A11" s="2" t="s">
        <v>73</v>
      </c>
      <c r="B11" s="2" t="s">
        <v>54</v>
      </c>
      <c r="C11" s="2" t="s">
        <v>55</v>
      </c>
      <c r="D11" s="2" t="str">
        <f>_xlfn.TEXTJOIN(", ",TRUE,IF(Test_Cases!$C$2:$C$368=A11,Test_Cases!$A$2:$A$368,""))</f>
        <v/>
      </c>
      <c r="E11" s="2">
        <f>COUNTIF(Test_Cases!$C$2:$C$368,A11)</f>
        <v>1</v>
      </c>
      <c r="F11" s="2">
        <f>COUNTIFS(Test_Cases!$C$2:$C$368,A11,Test_Cases!$L$2:$L$368,"Passed")</f>
        <v>1</v>
      </c>
      <c r="G11" s="2">
        <f>COUNTIFS(Test_Cases!$C$2:$C$368,A11,Test_Cases!$L$2:$L$368,"Failed")</f>
        <v>0</v>
      </c>
      <c r="H11" s="2">
        <f>COUNTIFS(Test_Cases!$C$2:$C$368,A11,Test_Cases!$L$2:$L$368,"Blocked")</f>
        <v>0</v>
      </c>
      <c r="I11" s="2">
        <f>COUNTIFS(Test_Cases!$C$2:$C$368,A11,Test_Cases!$L$2:$L$368,"Not_Executed")</f>
        <v>0</v>
      </c>
      <c r="J11" s="2" t="str">
        <f t="shared" si="0"/>
        <v>Fully Covered</v>
      </c>
      <c r="K11" s="2">
        <f>COUNTIF(Bug_Report!$J$2:$J$55,"*"&amp;A11&amp;"*")</f>
        <v>0</v>
      </c>
    </row>
    <row r="12" spans="1:11">
      <c r="A12" s="2" t="s">
        <v>75</v>
      </c>
      <c r="B12" s="2" t="s">
        <v>77</v>
      </c>
      <c r="C12" s="2" t="s">
        <v>55</v>
      </c>
      <c r="D12" s="2" t="str">
        <f>_xlfn.TEXTJOIN(", ",TRUE,IF(Test_Cases!$C$2:$C$368=A12,Test_Cases!$A$2:$A$368,""))</f>
        <v/>
      </c>
      <c r="E12" s="2">
        <f>COUNTIF(Test_Cases!$C$2:$C$368,A12)</f>
        <v>0</v>
      </c>
      <c r="F12" s="2">
        <f>COUNTIFS(Test_Cases!$C$2:$C$368,A12,Test_Cases!$L$2:$L$368,"Passed")</f>
        <v>0</v>
      </c>
      <c r="G12" s="2">
        <f>COUNTIFS(Test_Cases!$C$2:$C$368,A12,Test_Cases!$L$2:$L$368,"Failed")</f>
        <v>0</v>
      </c>
      <c r="H12" s="2">
        <f>COUNTIFS(Test_Cases!$C$2:$C$368,A12,Test_Cases!$L$2:$L$368,"Blocked")</f>
        <v>0</v>
      </c>
      <c r="I12" s="2">
        <f>COUNTIFS(Test_Cases!$C$2:$C$368,A12,Test_Cases!$L$2:$L$368,"Not_Executed")</f>
        <v>0</v>
      </c>
      <c r="J12" s="2" t="str">
        <f t="shared" si="0"/>
        <v>Not Covered</v>
      </c>
      <c r="K12" s="2">
        <f>COUNTIF(Bug_Report!$J$2:$J$55,"*"&amp;A12&amp;"*")</f>
        <v>0</v>
      </c>
    </row>
    <row r="13" spans="1:11">
      <c r="A13" s="2" t="s">
        <v>78</v>
      </c>
      <c r="B13" s="2" t="s">
        <v>80</v>
      </c>
      <c r="C13" s="2" t="s">
        <v>55</v>
      </c>
      <c r="D13" s="2" t="str">
        <f>_xlfn.TEXTJOIN(", ",TRUE,IF(Test_Cases!$C$2:$C$368=A13,Test_Cases!$A$2:$A$368,""))</f>
        <v/>
      </c>
      <c r="E13" s="2">
        <f>COUNTIF(Test_Cases!$C$2:$C$368,A13)</f>
        <v>0</v>
      </c>
      <c r="F13" s="2">
        <f>COUNTIFS(Test_Cases!$C$2:$C$368,A13,Test_Cases!$L$2:$L$368,"Passed")</f>
        <v>0</v>
      </c>
      <c r="G13" s="2">
        <f>COUNTIFS(Test_Cases!$C$2:$C$368,A13,Test_Cases!$L$2:$L$368,"Failed")</f>
        <v>0</v>
      </c>
      <c r="H13" s="2">
        <f>COUNTIFS(Test_Cases!$C$2:$C$368,A13,Test_Cases!$L$2:$L$368,"Blocked")</f>
        <v>0</v>
      </c>
      <c r="I13" s="2">
        <f>COUNTIFS(Test_Cases!$C$2:$C$368,A13,Test_Cases!$L$2:$L$368,"Not_Executed")</f>
        <v>0</v>
      </c>
      <c r="J13" s="2" t="str">
        <f t="shared" si="0"/>
        <v>Not Covered</v>
      </c>
      <c r="K13" s="2">
        <f>COUNTIF(Bug_Report!$J$2:$J$55,"*"&amp;A13&amp;"*")</f>
        <v>0</v>
      </c>
    </row>
    <row r="14" spans="1:11">
      <c r="A14" s="2" t="s">
        <v>81</v>
      </c>
      <c r="B14" s="2" t="s">
        <v>80</v>
      </c>
      <c r="C14" s="2" t="s">
        <v>55</v>
      </c>
      <c r="D14" s="2" t="str">
        <f>_xlfn.TEXTJOIN(", ",TRUE,IF(Test_Cases!$C$2:$C$368=A14,Test_Cases!$A$2:$A$368,""))</f>
        <v/>
      </c>
      <c r="E14" s="2">
        <f>COUNTIF(Test_Cases!$C$2:$C$368,A14)</f>
        <v>0</v>
      </c>
      <c r="F14" s="2">
        <f>COUNTIFS(Test_Cases!$C$2:$C$368,A14,Test_Cases!$L$2:$L$368,"Passed")</f>
        <v>0</v>
      </c>
      <c r="G14" s="2">
        <f>COUNTIFS(Test_Cases!$C$2:$C$368,A14,Test_Cases!$L$2:$L$368,"Failed")</f>
        <v>0</v>
      </c>
      <c r="H14" s="2">
        <f>COUNTIFS(Test_Cases!$C$2:$C$368,A14,Test_Cases!$L$2:$L$368,"Blocked")</f>
        <v>0</v>
      </c>
      <c r="I14" s="2">
        <f>COUNTIFS(Test_Cases!$C$2:$C$368,A14,Test_Cases!$L$2:$L$368,"Not_Executed")</f>
        <v>0</v>
      </c>
      <c r="J14" s="2" t="str">
        <f t="shared" si="0"/>
        <v>Not Covered</v>
      </c>
      <c r="K14" s="2">
        <f>COUNTIF(Bug_Report!$J$2:$J$55,"*"&amp;A14&amp;"*")</f>
        <v>0</v>
      </c>
    </row>
    <row r="15" spans="1:11">
      <c r="A15" s="2" t="s">
        <v>83</v>
      </c>
      <c r="B15" s="2" t="s">
        <v>80</v>
      </c>
      <c r="C15" s="2" t="s">
        <v>55</v>
      </c>
      <c r="D15" s="2" t="str">
        <f>_xlfn.TEXTJOIN(", ",TRUE,IF(Test_Cases!$C$2:$C$368=A15,Test_Cases!$A$2:$A$368,""))</f>
        <v/>
      </c>
      <c r="E15" s="2">
        <f>COUNTIF(Test_Cases!$C$2:$C$368,A15)</f>
        <v>0</v>
      </c>
      <c r="F15" s="2">
        <f>COUNTIFS(Test_Cases!$C$2:$C$368,A15,Test_Cases!$L$2:$L$368,"Passed")</f>
        <v>0</v>
      </c>
      <c r="G15" s="2">
        <f>COUNTIFS(Test_Cases!$C$2:$C$368,A15,Test_Cases!$L$2:$L$368,"Failed")</f>
        <v>0</v>
      </c>
      <c r="H15" s="2">
        <f>COUNTIFS(Test_Cases!$C$2:$C$368,A15,Test_Cases!$L$2:$L$368,"Blocked")</f>
        <v>0</v>
      </c>
      <c r="I15" s="2">
        <f>COUNTIFS(Test_Cases!$C$2:$C$368,A15,Test_Cases!$L$2:$L$368,"Not_Executed")</f>
        <v>0</v>
      </c>
      <c r="J15" s="2" t="str">
        <f t="shared" si="0"/>
        <v>Not Covered</v>
      </c>
      <c r="K15" s="2">
        <f>COUNTIF(Bug_Report!$J$2:$J$55,"*"&amp;A15&amp;"*")</f>
        <v>0</v>
      </c>
    </row>
    <row r="16" spans="1:11">
      <c r="A16" s="2" t="s">
        <v>85</v>
      </c>
      <c r="B16" s="2" t="s">
        <v>80</v>
      </c>
      <c r="C16" s="2" t="s">
        <v>55</v>
      </c>
      <c r="D16" s="2" t="str">
        <f>_xlfn.TEXTJOIN(", ",TRUE,IF(Test_Cases!$C$2:$C$368=A16,Test_Cases!$A$2:$A$368,""))</f>
        <v/>
      </c>
      <c r="E16" s="2">
        <f>COUNTIF(Test_Cases!$C$2:$C$368,A16)</f>
        <v>0</v>
      </c>
      <c r="F16" s="2">
        <f>COUNTIFS(Test_Cases!$C$2:$C$368,A16,Test_Cases!$L$2:$L$368,"Passed")</f>
        <v>0</v>
      </c>
      <c r="G16" s="2">
        <f>COUNTIFS(Test_Cases!$C$2:$C$368,A16,Test_Cases!$L$2:$L$368,"Failed")</f>
        <v>0</v>
      </c>
      <c r="H16" s="2">
        <f>COUNTIFS(Test_Cases!$C$2:$C$368,A16,Test_Cases!$L$2:$L$368,"Blocked")</f>
        <v>0</v>
      </c>
      <c r="I16" s="2">
        <f>COUNTIFS(Test_Cases!$C$2:$C$368,A16,Test_Cases!$L$2:$L$368,"Not_Executed")</f>
        <v>0</v>
      </c>
      <c r="J16" s="2" t="str">
        <f t="shared" si="0"/>
        <v>Not Covered</v>
      </c>
      <c r="K16" s="2">
        <f>COUNTIF(Bug_Report!$J$2:$J$55,"*"&amp;A16&amp;"*")</f>
        <v>0</v>
      </c>
    </row>
    <row r="17" spans="1:11">
      <c r="A17" s="2" t="s">
        <v>87</v>
      </c>
      <c r="B17" s="2" t="s">
        <v>80</v>
      </c>
      <c r="C17" s="2" t="s">
        <v>55</v>
      </c>
      <c r="D17" s="2" t="str">
        <f>_xlfn.TEXTJOIN(", ",TRUE,IF(Test_Cases!$C$2:$C$368=A17,Test_Cases!$A$2:$A$368,""))</f>
        <v/>
      </c>
      <c r="E17" s="2">
        <f>COUNTIF(Test_Cases!$C$2:$C$368,A17)</f>
        <v>0</v>
      </c>
      <c r="F17" s="2">
        <f>COUNTIFS(Test_Cases!$C$2:$C$368,A17,Test_Cases!$L$2:$L$368,"Passed")</f>
        <v>0</v>
      </c>
      <c r="G17" s="2">
        <f>COUNTIFS(Test_Cases!$C$2:$C$368,A17,Test_Cases!$L$2:$L$368,"Failed")</f>
        <v>0</v>
      </c>
      <c r="H17" s="2">
        <f>COUNTIFS(Test_Cases!$C$2:$C$368,A17,Test_Cases!$L$2:$L$368,"Blocked")</f>
        <v>0</v>
      </c>
      <c r="I17" s="2">
        <f>COUNTIFS(Test_Cases!$C$2:$C$368,A17,Test_Cases!$L$2:$L$368,"Not_Executed")</f>
        <v>0</v>
      </c>
      <c r="J17" s="2" t="str">
        <f t="shared" si="0"/>
        <v>Not Covered</v>
      </c>
      <c r="K17" s="2">
        <f>COUNTIF(Bug_Report!$J$2:$J$55,"*"&amp;A17&amp;"*")</f>
        <v>0</v>
      </c>
    </row>
    <row r="18" spans="1:11">
      <c r="A18" s="2" t="s">
        <v>89</v>
      </c>
      <c r="B18" s="2" t="s">
        <v>91</v>
      </c>
      <c r="C18" s="2" t="s">
        <v>55</v>
      </c>
      <c r="D18" s="2" t="str">
        <f>_xlfn.TEXTJOIN(", ",TRUE,IF(Test_Cases!$C$2:$C$368=A18,Test_Cases!$A$2:$A$368,""))</f>
        <v/>
      </c>
      <c r="E18" s="2">
        <f>COUNTIF(Test_Cases!$C$2:$C$368,A18)</f>
        <v>0</v>
      </c>
      <c r="F18" s="2">
        <f>COUNTIFS(Test_Cases!$C$2:$C$368,A18,Test_Cases!$L$2:$L$368,"Passed")</f>
        <v>0</v>
      </c>
      <c r="G18" s="2">
        <f>COUNTIFS(Test_Cases!$C$2:$C$368,A18,Test_Cases!$L$2:$L$368,"Failed")</f>
        <v>0</v>
      </c>
      <c r="H18" s="2">
        <f>COUNTIFS(Test_Cases!$C$2:$C$368,A18,Test_Cases!$L$2:$L$368,"Blocked")</f>
        <v>0</v>
      </c>
      <c r="I18" s="2">
        <f>COUNTIFS(Test_Cases!$C$2:$C$368,A18,Test_Cases!$L$2:$L$368,"Not_Executed")</f>
        <v>0</v>
      </c>
      <c r="J18" s="2" t="str">
        <f t="shared" si="0"/>
        <v>Not Covered</v>
      </c>
      <c r="K18" s="2">
        <f>COUNTIF(Bug_Report!$J$2:$J$55,"*"&amp;A18&amp;"*")</f>
        <v>0</v>
      </c>
    </row>
    <row r="19" spans="1:11">
      <c r="A19" s="2" t="s">
        <v>92</v>
      </c>
      <c r="B19" s="2" t="s">
        <v>91</v>
      </c>
      <c r="C19" s="2" t="s">
        <v>55</v>
      </c>
      <c r="D19" s="2" t="str">
        <f>_xlfn.TEXTJOIN(", ",TRUE,IF(Test_Cases!$C$2:$C$368=A19,Test_Cases!$A$2:$A$368,""))</f>
        <v/>
      </c>
      <c r="E19" s="2">
        <f>COUNTIF(Test_Cases!$C$2:$C$368,A19)</f>
        <v>0</v>
      </c>
      <c r="F19" s="2">
        <f>COUNTIFS(Test_Cases!$C$2:$C$368,A19,Test_Cases!$L$2:$L$368,"Passed")</f>
        <v>0</v>
      </c>
      <c r="G19" s="2">
        <f>COUNTIFS(Test_Cases!$C$2:$C$368,A19,Test_Cases!$L$2:$L$368,"Failed")</f>
        <v>0</v>
      </c>
      <c r="H19" s="2">
        <f>COUNTIFS(Test_Cases!$C$2:$C$368,A19,Test_Cases!$L$2:$L$368,"Blocked")</f>
        <v>0</v>
      </c>
      <c r="I19" s="2">
        <f>COUNTIFS(Test_Cases!$C$2:$C$368,A19,Test_Cases!$L$2:$L$368,"Not_Executed")</f>
        <v>0</v>
      </c>
      <c r="J19" s="2" t="str">
        <f t="shared" si="0"/>
        <v>Not Covered</v>
      </c>
      <c r="K19" s="2">
        <f>COUNTIF(Bug_Report!$J$2:$J$55,"*"&amp;A19&amp;"*")</f>
        <v>0</v>
      </c>
    </row>
    <row r="20" spans="1:11">
      <c r="A20" s="2" t="s">
        <v>94</v>
      </c>
      <c r="B20" s="2" t="s">
        <v>80</v>
      </c>
      <c r="C20" s="2" t="s">
        <v>55</v>
      </c>
      <c r="D20" s="2" t="str">
        <f>_xlfn.TEXTJOIN(", ",TRUE,IF(Test_Cases!$C$2:$C$368=A20,Test_Cases!$A$2:$A$368,""))</f>
        <v/>
      </c>
      <c r="E20" s="2">
        <f>COUNTIF(Test_Cases!$C$2:$C$368,A20)</f>
        <v>0</v>
      </c>
      <c r="F20" s="2">
        <f>COUNTIFS(Test_Cases!$C$2:$C$368,A20,Test_Cases!$L$2:$L$368,"Passed")</f>
        <v>0</v>
      </c>
      <c r="G20" s="2">
        <f>COUNTIFS(Test_Cases!$C$2:$C$368,A20,Test_Cases!$L$2:$L$368,"Failed")</f>
        <v>0</v>
      </c>
      <c r="H20" s="2">
        <f>COUNTIFS(Test_Cases!$C$2:$C$368,A20,Test_Cases!$L$2:$L$368,"Blocked")</f>
        <v>0</v>
      </c>
      <c r="I20" s="2">
        <f>COUNTIFS(Test_Cases!$C$2:$C$368,A20,Test_Cases!$L$2:$L$368,"Not_Executed")</f>
        <v>0</v>
      </c>
      <c r="J20" s="2" t="str">
        <f t="shared" si="0"/>
        <v>Not Covered</v>
      </c>
      <c r="K20" s="2">
        <f>COUNTIF(Bug_Report!$J$2:$J$55,"*"&amp;A20&amp;"*")</f>
        <v>0</v>
      </c>
    </row>
    <row r="21" spans="1:11">
      <c r="A21" s="2" t="s">
        <v>96</v>
      </c>
      <c r="B21" s="2" t="s">
        <v>80</v>
      </c>
      <c r="C21" s="2" t="s">
        <v>55</v>
      </c>
      <c r="D21" s="2" t="str">
        <f>_xlfn.TEXTJOIN(", ",TRUE,IF(Test_Cases!$C$2:$C$368=A21,Test_Cases!$A$2:$A$368,""))</f>
        <v/>
      </c>
      <c r="E21" s="2">
        <f>COUNTIF(Test_Cases!$C$2:$C$368,A21)</f>
        <v>0</v>
      </c>
      <c r="F21" s="2">
        <f>COUNTIFS(Test_Cases!$C$2:$C$368,A21,Test_Cases!$L$2:$L$368,"Passed")</f>
        <v>0</v>
      </c>
      <c r="G21" s="2">
        <f>COUNTIFS(Test_Cases!$C$2:$C$368,A21,Test_Cases!$L$2:$L$368,"Failed")</f>
        <v>0</v>
      </c>
      <c r="H21" s="2">
        <f>COUNTIFS(Test_Cases!$C$2:$C$368,A21,Test_Cases!$L$2:$L$368,"Blocked")</f>
        <v>0</v>
      </c>
      <c r="I21" s="2">
        <f>COUNTIFS(Test_Cases!$C$2:$C$368,A21,Test_Cases!$L$2:$L$368,"Not_Executed")</f>
        <v>0</v>
      </c>
      <c r="J21" s="2" t="str">
        <f t="shared" si="0"/>
        <v>Not Covered</v>
      </c>
      <c r="K21" s="2">
        <f>COUNTIF(Bug_Report!$J$2:$J$55,"*"&amp;A21&amp;"*")</f>
        <v>0</v>
      </c>
    </row>
    <row r="22" spans="1:11">
      <c r="A22" s="2" t="s">
        <v>98</v>
      </c>
      <c r="B22" s="2" t="s">
        <v>100</v>
      </c>
      <c r="C22" s="2" t="s">
        <v>55</v>
      </c>
      <c r="D22" s="2" t="str">
        <f>_xlfn.TEXTJOIN(", ",TRUE,IF(Test_Cases!$C$2:$C$368=A22,Test_Cases!$A$2:$A$368,""))</f>
        <v/>
      </c>
      <c r="E22" s="2">
        <f>COUNTIF(Test_Cases!$C$2:$C$368,A22)</f>
        <v>0</v>
      </c>
      <c r="F22" s="2">
        <f>COUNTIFS(Test_Cases!$C$2:$C$368,A22,Test_Cases!$L$2:$L$368,"Passed")</f>
        <v>0</v>
      </c>
      <c r="G22" s="2">
        <f>COUNTIFS(Test_Cases!$C$2:$C$368,A22,Test_Cases!$L$2:$L$368,"Failed")</f>
        <v>0</v>
      </c>
      <c r="H22" s="2">
        <f>COUNTIFS(Test_Cases!$C$2:$C$368,A22,Test_Cases!$L$2:$L$368,"Blocked")</f>
        <v>0</v>
      </c>
      <c r="I22" s="2">
        <f>COUNTIFS(Test_Cases!$C$2:$C$368,A22,Test_Cases!$L$2:$L$368,"Not_Executed")</f>
        <v>0</v>
      </c>
      <c r="J22" s="2" t="str">
        <f t="shared" si="0"/>
        <v>Not Covered</v>
      </c>
      <c r="K22" s="2">
        <f>COUNTIF(Bug_Report!$J$2:$J$55,"*"&amp;A22&amp;"*")</f>
        <v>0</v>
      </c>
    </row>
    <row r="23" spans="1:11">
      <c r="A23" s="2" t="s">
        <v>101</v>
      </c>
      <c r="B23" s="2" t="s">
        <v>100</v>
      </c>
      <c r="C23" s="2" t="s">
        <v>55</v>
      </c>
      <c r="D23" s="2" t="str">
        <f>_xlfn.TEXTJOIN(", ",TRUE,IF(Test_Cases!$C$2:$C$368=A23,Test_Cases!$A$2:$A$368,""))</f>
        <v/>
      </c>
      <c r="E23" s="2">
        <f>COUNTIF(Test_Cases!$C$2:$C$368,A23)</f>
        <v>0</v>
      </c>
      <c r="F23" s="2">
        <f>COUNTIFS(Test_Cases!$C$2:$C$368,A23,Test_Cases!$L$2:$L$368,"Passed")</f>
        <v>0</v>
      </c>
      <c r="G23" s="2">
        <f>COUNTIFS(Test_Cases!$C$2:$C$368,A23,Test_Cases!$L$2:$L$368,"Failed")</f>
        <v>0</v>
      </c>
      <c r="H23" s="2">
        <f>COUNTIFS(Test_Cases!$C$2:$C$368,A23,Test_Cases!$L$2:$L$368,"Blocked")</f>
        <v>0</v>
      </c>
      <c r="I23" s="2">
        <f>COUNTIFS(Test_Cases!$C$2:$C$368,A23,Test_Cases!$L$2:$L$368,"Not_Executed")</f>
        <v>0</v>
      </c>
      <c r="J23" s="2" t="str">
        <f t="shared" si="0"/>
        <v>Not Covered</v>
      </c>
      <c r="K23" s="2">
        <f>COUNTIF(Bug_Report!$J$2:$J$55,"*"&amp;A23&amp;"*")</f>
        <v>0</v>
      </c>
    </row>
    <row r="24" spans="1:11">
      <c r="A24" s="2" t="s">
        <v>103</v>
      </c>
      <c r="B24" s="2" t="s">
        <v>80</v>
      </c>
      <c r="C24" s="2" t="s">
        <v>55</v>
      </c>
      <c r="D24" s="2" t="str">
        <f>_xlfn.TEXTJOIN(", ",TRUE,IF(Test_Cases!$C$2:$C$368=A24,Test_Cases!$A$2:$A$368,""))</f>
        <v/>
      </c>
      <c r="E24" s="2">
        <f>COUNTIF(Test_Cases!$C$2:$C$368,A24)</f>
        <v>0</v>
      </c>
      <c r="F24" s="2">
        <f>COUNTIFS(Test_Cases!$C$2:$C$368,A24,Test_Cases!$L$2:$L$368,"Passed")</f>
        <v>0</v>
      </c>
      <c r="G24" s="2">
        <f>COUNTIFS(Test_Cases!$C$2:$C$368,A24,Test_Cases!$L$2:$L$368,"Failed")</f>
        <v>0</v>
      </c>
      <c r="H24" s="2">
        <f>COUNTIFS(Test_Cases!$C$2:$C$368,A24,Test_Cases!$L$2:$L$368,"Blocked")</f>
        <v>0</v>
      </c>
      <c r="I24" s="2">
        <f>COUNTIFS(Test_Cases!$C$2:$C$368,A24,Test_Cases!$L$2:$L$368,"Not_Executed")</f>
        <v>0</v>
      </c>
      <c r="J24" s="2" t="str">
        <f t="shared" si="0"/>
        <v>Not Covered</v>
      </c>
      <c r="K24" s="2">
        <f>COUNTIF(Bug_Report!$J$2:$J$55,"*"&amp;A24&amp;"*")</f>
        <v>0</v>
      </c>
    </row>
    <row r="25" spans="1:11">
      <c r="A25" s="2" t="s">
        <v>105</v>
      </c>
      <c r="B25" s="2" t="s">
        <v>107</v>
      </c>
      <c r="C25" s="2" t="s">
        <v>55</v>
      </c>
      <c r="D25" s="2" t="str">
        <f>_xlfn.TEXTJOIN(", ",TRUE,IF(Test_Cases!$C$2:$C$368=A25,Test_Cases!$A$2:$A$368,""))</f>
        <v/>
      </c>
      <c r="E25" s="2">
        <f>COUNTIF(Test_Cases!$C$2:$C$368,A25)</f>
        <v>0</v>
      </c>
      <c r="F25" s="2">
        <f>COUNTIFS(Test_Cases!$C$2:$C$368,A25,Test_Cases!$L$2:$L$368,"Passed")</f>
        <v>0</v>
      </c>
      <c r="G25" s="2">
        <f>COUNTIFS(Test_Cases!$C$2:$C$368,A25,Test_Cases!$L$2:$L$368,"Failed")</f>
        <v>0</v>
      </c>
      <c r="H25" s="2">
        <f>COUNTIFS(Test_Cases!$C$2:$C$368,A25,Test_Cases!$L$2:$L$368,"Blocked")</f>
        <v>0</v>
      </c>
      <c r="I25" s="2">
        <f>COUNTIFS(Test_Cases!$C$2:$C$368,A25,Test_Cases!$L$2:$L$368,"Not_Executed")</f>
        <v>0</v>
      </c>
      <c r="J25" s="2" t="str">
        <f t="shared" si="0"/>
        <v>Not Covered</v>
      </c>
      <c r="K25" s="2">
        <f>COUNTIF(Bug_Report!$J$2:$J$55,"*"&amp;A25&amp;"*")</f>
        <v>0</v>
      </c>
    </row>
    <row r="26" spans="1:11">
      <c r="A26" s="2" t="s">
        <v>108</v>
      </c>
      <c r="B26" s="2" t="s">
        <v>100</v>
      </c>
      <c r="C26" s="2" t="s">
        <v>55</v>
      </c>
      <c r="D26" s="2" t="str">
        <f>_xlfn.TEXTJOIN(", ",TRUE,IF(Test_Cases!$C$2:$C$368=A26,Test_Cases!$A$2:$A$368,""))</f>
        <v/>
      </c>
      <c r="E26" s="2">
        <f>COUNTIF(Test_Cases!$C$2:$C$368,A26)</f>
        <v>0</v>
      </c>
      <c r="F26" s="2">
        <f>COUNTIFS(Test_Cases!$C$2:$C$368,A26,Test_Cases!$L$2:$L$368,"Passed")</f>
        <v>0</v>
      </c>
      <c r="G26" s="2">
        <f>COUNTIFS(Test_Cases!$C$2:$C$368,A26,Test_Cases!$L$2:$L$368,"Failed")</f>
        <v>0</v>
      </c>
      <c r="H26" s="2">
        <f>COUNTIFS(Test_Cases!$C$2:$C$368,A26,Test_Cases!$L$2:$L$368,"Blocked")</f>
        <v>0</v>
      </c>
      <c r="I26" s="2">
        <f>COUNTIFS(Test_Cases!$C$2:$C$368,A26,Test_Cases!$L$2:$L$368,"Not_Executed")</f>
        <v>0</v>
      </c>
      <c r="J26" s="2" t="str">
        <f t="shared" si="0"/>
        <v>Not Covered</v>
      </c>
      <c r="K26" s="2">
        <f>COUNTIF(Bug_Report!$J$2:$J$55,"*"&amp;A26&amp;"*")</f>
        <v>0</v>
      </c>
    </row>
    <row r="27" spans="1:11">
      <c r="A27" s="2" t="s">
        <v>110</v>
      </c>
      <c r="B27" s="2" t="s">
        <v>112</v>
      </c>
      <c r="C27" s="2" t="s">
        <v>113</v>
      </c>
      <c r="D27" s="2" t="str">
        <f>_xlfn.TEXTJOIN(", ",TRUE,IF(Test_Cases!$C$2:$C$368=A27,Test_Cases!$A$2:$A$368,""))</f>
        <v/>
      </c>
      <c r="E27" s="2">
        <f>COUNTIF(Test_Cases!$C$2:$C$368,A27)</f>
        <v>0</v>
      </c>
      <c r="F27" s="2">
        <f>COUNTIFS(Test_Cases!$C$2:$C$368,A27,Test_Cases!$L$2:$L$368,"Passed")</f>
        <v>0</v>
      </c>
      <c r="G27" s="2">
        <f>COUNTIFS(Test_Cases!$C$2:$C$368,A27,Test_Cases!$L$2:$L$368,"Failed")</f>
        <v>0</v>
      </c>
      <c r="H27" s="2">
        <f>COUNTIFS(Test_Cases!$C$2:$C$368,A27,Test_Cases!$L$2:$L$368,"Blocked")</f>
        <v>0</v>
      </c>
      <c r="I27" s="2">
        <f>COUNTIFS(Test_Cases!$C$2:$C$368,A27,Test_Cases!$L$2:$L$368,"Not_Executed")</f>
        <v>0</v>
      </c>
      <c r="J27" s="2" t="str">
        <f t="shared" si="0"/>
        <v>Not Covered</v>
      </c>
      <c r="K27" s="2">
        <f>COUNTIF(Bug_Report!$J$2:$J$55,"*"&amp;A27&amp;"*")</f>
        <v>0</v>
      </c>
    </row>
    <row r="28" spans="1:11">
      <c r="A28" s="2" t="s">
        <v>114</v>
      </c>
      <c r="B28" s="2" t="s">
        <v>116</v>
      </c>
      <c r="C28" s="2" t="s">
        <v>55</v>
      </c>
      <c r="D28" s="2" t="str">
        <f>_xlfn.TEXTJOIN(", ",TRUE,IF(Test_Cases!$C$2:$C$368=A28,Test_Cases!$A$2:$A$368,""))</f>
        <v/>
      </c>
      <c r="E28" s="2">
        <f>COUNTIF(Test_Cases!$C$2:$C$368,A28)</f>
        <v>0</v>
      </c>
      <c r="F28" s="2">
        <f>COUNTIFS(Test_Cases!$C$2:$C$368,A28,Test_Cases!$L$2:$L$368,"Passed")</f>
        <v>0</v>
      </c>
      <c r="G28" s="2">
        <f>COUNTIFS(Test_Cases!$C$2:$C$368,A28,Test_Cases!$L$2:$L$368,"Failed")</f>
        <v>0</v>
      </c>
      <c r="H28" s="2">
        <f>COUNTIFS(Test_Cases!$C$2:$C$368,A28,Test_Cases!$L$2:$L$368,"Blocked")</f>
        <v>0</v>
      </c>
      <c r="I28" s="2">
        <f>COUNTIFS(Test_Cases!$C$2:$C$368,A28,Test_Cases!$L$2:$L$368,"Not_Executed")</f>
        <v>0</v>
      </c>
      <c r="J28" s="2" t="str">
        <f t="shared" si="0"/>
        <v>Not Covered</v>
      </c>
      <c r="K28" s="2">
        <f>COUNTIF(Bug_Report!$J$2:$J$55,"*"&amp;A28&amp;"*")</f>
        <v>0</v>
      </c>
    </row>
    <row r="29" spans="1:11">
      <c r="A29" s="2" t="s">
        <v>117</v>
      </c>
      <c r="B29" s="2" t="s">
        <v>116</v>
      </c>
      <c r="C29" s="2" t="s">
        <v>55</v>
      </c>
      <c r="D29" s="2" t="str">
        <f>_xlfn.TEXTJOIN(", ",TRUE,IF(Test_Cases!$C$2:$C$368=A29,Test_Cases!$A$2:$A$368,""))</f>
        <v/>
      </c>
      <c r="E29" s="2">
        <f>COUNTIF(Test_Cases!$C$2:$C$368,A29)</f>
        <v>0</v>
      </c>
      <c r="F29" s="2">
        <f>COUNTIFS(Test_Cases!$C$2:$C$368,A29,Test_Cases!$L$2:$L$368,"Passed")</f>
        <v>0</v>
      </c>
      <c r="G29" s="2">
        <f>COUNTIFS(Test_Cases!$C$2:$C$368,A29,Test_Cases!$L$2:$L$368,"Failed")</f>
        <v>0</v>
      </c>
      <c r="H29" s="2">
        <f>COUNTIFS(Test_Cases!$C$2:$C$368,A29,Test_Cases!$L$2:$L$368,"Blocked")</f>
        <v>0</v>
      </c>
      <c r="I29" s="2">
        <f>COUNTIFS(Test_Cases!$C$2:$C$368,A29,Test_Cases!$L$2:$L$368,"Not_Executed")</f>
        <v>0</v>
      </c>
      <c r="J29" s="2" t="str">
        <f t="shared" si="0"/>
        <v>Not Covered</v>
      </c>
      <c r="K29" s="2">
        <f>COUNTIF(Bug_Report!$J$2:$J$55,"*"&amp;A29&amp;"*")</f>
        <v>0</v>
      </c>
    </row>
    <row r="30" spans="1:11">
      <c r="A30" s="2" t="s">
        <v>119</v>
      </c>
      <c r="B30" s="2" t="s">
        <v>116</v>
      </c>
      <c r="C30" s="2" t="s">
        <v>113</v>
      </c>
      <c r="D30" s="2" t="str">
        <f>_xlfn.TEXTJOIN(", ",TRUE,IF(Test_Cases!$C$2:$C$368=A30,Test_Cases!$A$2:$A$368,""))</f>
        <v/>
      </c>
      <c r="E30" s="2">
        <f>COUNTIF(Test_Cases!$C$2:$C$368,A30)</f>
        <v>0</v>
      </c>
      <c r="F30" s="2">
        <f>COUNTIFS(Test_Cases!$C$2:$C$368,A30,Test_Cases!$L$2:$L$368,"Passed")</f>
        <v>0</v>
      </c>
      <c r="G30" s="2">
        <f>COUNTIFS(Test_Cases!$C$2:$C$368,A30,Test_Cases!$L$2:$L$368,"Failed")</f>
        <v>0</v>
      </c>
      <c r="H30" s="2">
        <f>COUNTIFS(Test_Cases!$C$2:$C$368,A30,Test_Cases!$L$2:$L$368,"Blocked")</f>
        <v>0</v>
      </c>
      <c r="I30" s="2">
        <f>COUNTIFS(Test_Cases!$C$2:$C$368,A30,Test_Cases!$L$2:$L$368,"Not_Executed")</f>
        <v>0</v>
      </c>
      <c r="J30" s="2" t="str">
        <f t="shared" si="0"/>
        <v>Not Covered</v>
      </c>
      <c r="K30" s="2">
        <f>COUNTIF(Bug_Report!$J$2:$J$55,"*"&amp;A30&amp;"*")</f>
        <v>0</v>
      </c>
    </row>
    <row r="31" spans="1:11">
      <c r="A31" s="2" t="s">
        <v>121</v>
      </c>
      <c r="B31" s="2" t="s">
        <v>116</v>
      </c>
      <c r="C31" s="2" t="s">
        <v>113</v>
      </c>
      <c r="D31" s="2" t="str">
        <f>_xlfn.TEXTJOIN(", ",TRUE,IF(Test_Cases!$C$2:$C$368=A31,Test_Cases!$A$2:$A$368,""))</f>
        <v/>
      </c>
      <c r="E31" s="2">
        <f>COUNTIF(Test_Cases!$C$2:$C$368,A31)</f>
        <v>0</v>
      </c>
      <c r="F31" s="2">
        <f>COUNTIFS(Test_Cases!$C$2:$C$368,A31,Test_Cases!$L$2:$L$368,"Passed")</f>
        <v>0</v>
      </c>
      <c r="G31" s="2">
        <f>COUNTIFS(Test_Cases!$C$2:$C$368,A31,Test_Cases!$L$2:$L$368,"Failed")</f>
        <v>0</v>
      </c>
      <c r="H31" s="2">
        <f>COUNTIFS(Test_Cases!$C$2:$C$368,A31,Test_Cases!$L$2:$L$368,"Blocked")</f>
        <v>0</v>
      </c>
      <c r="I31" s="2">
        <f>COUNTIFS(Test_Cases!$C$2:$C$368,A31,Test_Cases!$L$2:$L$368,"Not_Executed")</f>
        <v>0</v>
      </c>
      <c r="J31" s="2" t="str">
        <f t="shared" si="0"/>
        <v>Not Covered</v>
      </c>
      <c r="K31" s="2">
        <f>COUNTIF(Bug_Report!$J$2:$J$55,"*"&amp;A31&amp;"*")</f>
        <v>0</v>
      </c>
    </row>
    <row r="32" spans="1:11">
      <c r="A32" s="2" t="s">
        <v>123</v>
      </c>
      <c r="B32" s="2" t="s">
        <v>116</v>
      </c>
      <c r="C32" s="2" t="s">
        <v>55</v>
      </c>
      <c r="D32" s="2" t="str">
        <f>_xlfn.TEXTJOIN(", ",TRUE,IF(Test_Cases!$C$2:$C$368=A32,Test_Cases!$A$2:$A$368,""))</f>
        <v/>
      </c>
      <c r="E32" s="2">
        <f>COUNTIF(Test_Cases!$C$2:$C$368,A32)</f>
        <v>0</v>
      </c>
      <c r="F32" s="2">
        <f>COUNTIFS(Test_Cases!$C$2:$C$368,A32,Test_Cases!$L$2:$L$368,"Passed")</f>
        <v>0</v>
      </c>
      <c r="G32" s="2">
        <f>COUNTIFS(Test_Cases!$C$2:$C$368,A32,Test_Cases!$L$2:$L$368,"Failed")</f>
        <v>0</v>
      </c>
      <c r="H32" s="2">
        <f>COUNTIFS(Test_Cases!$C$2:$C$368,A32,Test_Cases!$L$2:$L$368,"Blocked")</f>
        <v>0</v>
      </c>
      <c r="I32" s="2">
        <f>COUNTIFS(Test_Cases!$C$2:$C$368,A32,Test_Cases!$L$2:$L$368,"Not_Executed")</f>
        <v>0</v>
      </c>
      <c r="J32" s="2" t="str">
        <f t="shared" si="0"/>
        <v>Not Covered</v>
      </c>
      <c r="K32" s="2">
        <f>COUNTIF(Bug_Report!$J$2:$J$55,"*"&amp;A32&amp;"*")</f>
        <v>0</v>
      </c>
    </row>
    <row r="33" spans="1:11">
      <c r="A33" s="2" t="s">
        <v>125</v>
      </c>
      <c r="B33" s="2" t="s">
        <v>107</v>
      </c>
      <c r="C33" s="2" t="s">
        <v>55</v>
      </c>
      <c r="D33" s="2" t="str">
        <f>_xlfn.TEXTJOIN(", ",TRUE,IF(Test_Cases!$C$2:$C$368=A33,Test_Cases!$A$2:$A$368,""))</f>
        <v/>
      </c>
      <c r="E33" s="2">
        <f>COUNTIF(Test_Cases!$C$2:$C$368,A33)</f>
        <v>0</v>
      </c>
      <c r="F33" s="2">
        <f>COUNTIFS(Test_Cases!$C$2:$C$368,A33,Test_Cases!$L$2:$L$368,"Passed")</f>
        <v>0</v>
      </c>
      <c r="G33" s="2">
        <f>COUNTIFS(Test_Cases!$C$2:$C$368,A33,Test_Cases!$L$2:$L$368,"Failed")</f>
        <v>0</v>
      </c>
      <c r="H33" s="2">
        <f>COUNTIFS(Test_Cases!$C$2:$C$368,A33,Test_Cases!$L$2:$L$368,"Blocked")</f>
        <v>0</v>
      </c>
      <c r="I33" s="2">
        <f>COUNTIFS(Test_Cases!$C$2:$C$368,A33,Test_Cases!$L$2:$L$368,"Not_Executed")</f>
        <v>0</v>
      </c>
      <c r="J33" s="2" t="str">
        <f t="shared" si="0"/>
        <v>Not Covered</v>
      </c>
      <c r="K33" s="2">
        <f>COUNTIF(Bug_Report!$J$2:$J$55,"*"&amp;A33&amp;"*")</f>
        <v>0</v>
      </c>
    </row>
    <row r="34" spans="1:11">
      <c r="A34" s="2" t="s">
        <v>127</v>
      </c>
      <c r="B34" s="2" t="s">
        <v>107</v>
      </c>
      <c r="C34" s="2" t="s">
        <v>55</v>
      </c>
      <c r="D34" s="2" t="str">
        <f>_xlfn.TEXTJOIN(", ",TRUE,IF(Test_Cases!$C$2:$C$368=A34,Test_Cases!$A$2:$A$368,""))</f>
        <v/>
      </c>
      <c r="E34" s="2">
        <f>COUNTIF(Test_Cases!$C$2:$C$368,A34)</f>
        <v>0</v>
      </c>
      <c r="F34" s="2">
        <f>COUNTIFS(Test_Cases!$C$2:$C$368,A34,Test_Cases!$L$2:$L$368,"Passed")</f>
        <v>0</v>
      </c>
      <c r="G34" s="2">
        <f>COUNTIFS(Test_Cases!$C$2:$C$368,A34,Test_Cases!$L$2:$L$368,"Failed")</f>
        <v>0</v>
      </c>
      <c r="H34" s="2">
        <f>COUNTIFS(Test_Cases!$C$2:$C$368,A34,Test_Cases!$L$2:$L$368,"Blocked")</f>
        <v>0</v>
      </c>
      <c r="I34" s="2">
        <f>COUNTIFS(Test_Cases!$C$2:$C$368,A34,Test_Cases!$L$2:$L$368,"Not_Executed")</f>
        <v>0</v>
      </c>
      <c r="J34" s="2" t="str">
        <f t="shared" si="0"/>
        <v>Not Covered</v>
      </c>
      <c r="K34" s="2">
        <f>COUNTIF(Bug_Report!$J$2:$J$55,"*"&amp;A34&amp;"*")</f>
        <v>0</v>
      </c>
    </row>
    <row r="35" spans="1:11">
      <c r="A35" s="2" t="s">
        <v>129</v>
      </c>
      <c r="B35" s="2" t="s">
        <v>107</v>
      </c>
      <c r="C35" s="2" t="s">
        <v>55</v>
      </c>
      <c r="D35" s="2" t="str">
        <f>_xlfn.TEXTJOIN(", ",TRUE,IF(Test_Cases!$C$2:$C$368=A35,Test_Cases!$A$2:$A$368,""))</f>
        <v/>
      </c>
      <c r="E35" s="2">
        <f>COUNTIF(Test_Cases!$C$2:$C$368,A35)</f>
        <v>0</v>
      </c>
      <c r="F35" s="2">
        <f>COUNTIFS(Test_Cases!$C$2:$C$368,A35,Test_Cases!$L$2:$L$368,"Passed")</f>
        <v>0</v>
      </c>
      <c r="G35" s="2">
        <f>COUNTIFS(Test_Cases!$C$2:$C$368,A35,Test_Cases!$L$2:$L$368,"Failed")</f>
        <v>0</v>
      </c>
      <c r="H35" s="2">
        <f>COUNTIFS(Test_Cases!$C$2:$C$368,A35,Test_Cases!$L$2:$L$368,"Blocked")</f>
        <v>0</v>
      </c>
      <c r="I35" s="2">
        <f>COUNTIFS(Test_Cases!$C$2:$C$368,A35,Test_Cases!$L$2:$L$368,"Not_Executed")</f>
        <v>0</v>
      </c>
      <c r="J35" s="2" t="str">
        <f t="shared" si="0"/>
        <v>Not Covered</v>
      </c>
      <c r="K35" s="2">
        <f>COUNTIF(Bug_Report!$J$2:$J$55,"*"&amp;A35&amp;"*")</f>
        <v>0</v>
      </c>
    </row>
    <row r="36" spans="1:11">
      <c r="A36" s="2" t="s">
        <v>131</v>
      </c>
      <c r="B36" s="2" t="s">
        <v>107</v>
      </c>
      <c r="C36" s="2" t="s">
        <v>55</v>
      </c>
      <c r="D36" s="2" t="str">
        <f>_xlfn.TEXTJOIN(", ",TRUE,IF(Test_Cases!$C$2:$C$368=A36,Test_Cases!$A$2:$A$368,""))</f>
        <v/>
      </c>
      <c r="E36" s="2">
        <f>COUNTIF(Test_Cases!$C$2:$C$368,A36)</f>
        <v>0</v>
      </c>
      <c r="F36" s="2">
        <f>COUNTIFS(Test_Cases!$C$2:$C$368,A36,Test_Cases!$L$2:$L$368,"Passed")</f>
        <v>0</v>
      </c>
      <c r="G36" s="2">
        <f>COUNTIFS(Test_Cases!$C$2:$C$368,A36,Test_Cases!$L$2:$L$368,"Failed")</f>
        <v>0</v>
      </c>
      <c r="H36" s="2">
        <f>COUNTIFS(Test_Cases!$C$2:$C$368,A36,Test_Cases!$L$2:$L$368,"Blocked")</f>
        <v>0</v>
      </c>
      <c r="I36" s="2">
        <f>COUNTIFS(Test_Cases!$C$2:$C$368,A36,Test_Cases!$L$2:$L$368,"Not_Executed")</f>
        <v>0</v>
      </c>
      <c r="J36" s="2" t="str">
        <f t="shared" si="0"/>
        <v>Not Covered</v>
      </c>
      <c r="K36" s="2">
        <f>COUNTIF(Bug_Report!$J$2:$J$55,"*"&amp;A36&amp;"*")</f>
        <v>0</v>
      </c>
    </row>
    <row r="37" spans="1:11">
      <c r="A37" s="2" t="s">
        <v>133</v>
      </c>
      <c r="B37" s="2" t="s">
        <v>107</v>
      </c>
      <c r="C37" s="2" t="s">
        <v>55</v>
      </c>
      <c r="D37" s="2" t="str">
        <f>_xlfn.TEXTJOIN(", ",TRUE,IF(Test_Cases!$C$2:$C$368=A37,Test_Cases!$A$2:$A$368,""))</f>
        <v/>
      </c>
      <c r="E37" s="2">
        <f>COUNTIF(Test_Cases!$C$2:$C$368,A37)</f>
        <v>0</v>
      </c>
      <c r="F37" s="2">
        <f>COUNTIFS(Test_Cases!$C$2:$C$368,A37,Test_Cases!$L$2:$L$368,"Passed")</f>
        <v>0</v>
      </c>
      <c r="G37" s="2">
        <f>COUNTIFS(Test_Cases!$C$2:$C$368,A37,Test_Cases!$L$2:$L$368,"Failed")</f>
        <v>0</v>
      </c>
      <c r="H37" s="2">
        <f>COUNTIFS(Test_Cases!$C$2:$C$368,A37,Test_Cases!$L$2:$L$368,"Blocked")</f>
        <v>0</v>
      </c>
      <c r="I37" s="2">
        <f>COUNTIFS(Test_Cases!$C$2:$C$368,A37,Test_Cases!$L$2:$L$368,"Not_Executed")</f>
        <v>0</v>
      </c>
      <c r="J37" s="2" t="str">
        <f t="shared" si="0"/>
        <v>Not Covered</v>
      </c>
      <c r="K37" s="2">
        <f>COUNTIF(Bug_Report!$J$2:$J$55,"*"&amp;A37&amp;"*")</f>
        <v>0</v>
      </c>
    </row>
    <row r="38" spans="1:11">
      <c r="A38" s="2" t="s">
        <v>135</v>
      </c>
      <c r="B38" s="2" t="s">
        <v>107</v>
      </c>
      <c r="C38" s="2" t="s">
        <v>55</v>
      </c>
      <c r="D38" s="2" t="str">
        <f>_xlfn.TEXTJOIN(", ",TRUE,IF(Test_Cases!$C$2:$C$368=A38,Test_Cases!$A$2:$A$368,""))</f>
        <v/>
      </c>
      <c r="E38" s="2">
        <f>COUNTIF(Test_Cases!$C$2:$C$368,A38)</f>
        <v>0</v>
      </c>
      <c r="F38" s="2">
        <f>COUNTIFS(Test_Cases!$C$2:$C$368,A38,Test_Cases!$L$2:$L$368,"Passed")</f>
        <v>0</v>
      </c>
      <c r="G38" s="2">
        <f>COUNTIFS(Test_Cases!$C$2:$C$368,A38,Test_Cases!$L$2:$L$368,"Failed")</f>
        <v>0</v>
      </c>
      <c r="H38" s="2">
        <f>COUNTIFS(Test_Cases!$C$2:$C$368,A38,Test_Cases!$L$2:$L$368,"Blocked")</f>
        <v>0</v>
      </c>
      <c r="I38" s="2">
        <f>COUNTIFS(Test_Cases!$C$2:$C$368,A38,Test_Cases!$L$2:$L$368,"Not_Executed")</f>
        <v>0</v>
      </c>
      <c r="J38" s="2" t="str">
        <f t="shared" si="0"/>
        <v>Not Covered</v>
      </c>
      <c r="K38" s="2">
        <f>COUNTIF(Bug_Report!$J$2:$J$55,"*"&amp;A38&amp;"*")</f>
        <v>0</v>
      </c>
    </row>
    <row r="39" spans="1:11">
      <c r="A39" s="2" t="s">
        <v>137</v>
      </c>
      <c r="B39" s="2" t="s">
        <v>107</v>
      </c>
      <c r="C39" s="2" t="s">
        <v>55</v>
      </c>
      <c r="D39" s="2" t="str">
        <f>_xlfn.TEXTJOIN(", ",TRUE,IF(Test_Cases!$C$2:$C$368=A39,Test_Cases!$A$2:$A$368,""))</f>
        <v/>
      </c>
      <c r="E39" s="2">
        <f>COUNTIF(Test_Cases!$C$2:$C$368,A39)</f>
        <v>0</v>
      </c>
      <c r="F39" s="2">
        <f>COUNTIFS(Test_Cases!$C$2:$C$368,A39,Test_Cases!$L$2:$L$368,"Passed")</f>
        <v>0</v>
      </c>
      <c r="G39" s="2">
        <f>COUNTIFS(Test_Cases!$C$2:$C$368,A39,Test_Cases!$L$2:$L$368,"Failed")</f>
        <v>0</v>
      </c>
      <c r="H39" s="2">
        <f>COUNTIFS(Test_Cases!$C$2:$C$368,A39,Test_Cases!$L$2:$L$368,"Blocked")</f>
        <v>0</v>
      </c>
      <c r="I39" s="2">
        <f>COUNTIFS(Test_Cases!$C$2:$C$368,A39,Test_Cases!$L$2:$L$368,"Not_Executed")</f>
        <v>0</v>
      </c>
      <c r="J39" s="2" t="str">
        <f t="shared" si="0"/>
        <v>Not Covered</v>
      </c>
      <c r="K39" s="2">
        <f>COUNTIF(Bug_Report!$J$2:$J$55,"*"&amp;A39&amp;"*")</f>
        <v>0</v>
      </c>
    </row>
    <row r="40" spans="1:11">
      <c r="A40" s="2" t="s">
        <v>139</v>
      </c>
      <c r="B40" s="2" t="s">
        <v>107</v>
      </c>
      <c r="C40" s="2" t="s">
        <v>55</v>
      </c>
      <c r="D40" s="2" t="str">
        <f>_xlfn.TEXTJOIN(", ",TRUE,IF(Test_Cases!$C$2:$C$368=A40,Test_Cases!$A$2:$A$368,""))</f>
        <v/>
      </c>
      <c r="E40" s="2">
        <f>COUNTIF(Test_Cases!$C$2:$C$368,A40)</f>
        <v>0</v>
      </c>
      <c r="F40" s="2">
        <f>COUNTIFS(Test_Cases!$C$2:$C$368,A40,Test_Cases!$L$2:$L$368,"Passed")</f>
        <v>0</v>
      </c>
      <c r="G40" s="2">
        <f>COUNTIFS(Test_Cases!$C$2:$C$368,A40,Test_Cases!$L$2:$L$368,"Failed")</f>
        <v>0</v>
      </c>
      <c r="H40" s="2">
        <f>COUNTIFS(Test_Cases!$C$2:$C$368,A40,Test_Cases!$L$2:$L$368,"Blocked")</f>
        <v>0</v>
      </c>
      <c r="I40" s="2">
        <f>COUNTIFS(Test_Cases!$C$2:$C$368,A40,Test_Cases!$L$2:$L$368,"Not_Executed")</f>
        <v>0</v>
      </c>
      <c r="J40" s="2" t="str">
        <f t="shared" si="0"/>
        <v>Not Covered</v>
      </c>
      <c r="K40" s="2">
        <f>COUNTIF(Bug_Report!$J$2:$J$55,"*"&amp;A40&amp;"*")</f>
        <v>0</v>
      </c>
    </row>
    <row r="41" spans="1:11">
      <c r="A41" s="2" t="s">
        <v>141</v>
      </c>
      <c r="B41" s="2" t="s">
        <v>107</v>
      </c>
      <c r="C41" s="2" t="s">
        <v>55</v>
      </c>
      <c r="D41" s="2" t="str">
        <f>_xlfn.TEXTJOIN(", ",TRUE,IF(Test_Cases!$C$2:$C$368=A41,Test_Cases!$A$2:$A$368,""))</f>
        <v/>
      </c>
      <c r="E41" s="2">
        <f>COUNTIF(Test_Cases!$C$2:$C$368,A41)</f>
        <v>0</v>
      </c>
      <c r="F41" s="2">
        <f>COUNTIFS(Test_Cases!$C$2:$C$368,A41,Test_Cases!$L$2:$L$368,"Passed")</f>
        <v>0</v>
      </c>
      <c r="G41" s="2">
        <f>COUNTIFS(Test_Cases!$C$2:$C$368,A41,Test_Cases!$L$2:$L$368,"Failed")</f>
        <v>0</v>
      </c>
      <c r="H41" s="2">
        <f>COUNTIFS(Test_Cases!$C$2:$C$368,A41,Test_Cases!$L$2:$L$368,"Blocked")</f>
        <v>0</v>
      </c>
      <c r="I41" s="2">
        <f>COUNTIFS(Test_Cases!$C$2:$C$368,A41,Test_Cases!$L$2:$L$368,"Not_Executed")</f>
        <v>0</v>
      </c>
      <c r="J41" s="2" t="str">
        <f t="shared" si="0"/>
        <v>Not Covered</v>
      </c>
      <c r="K41" s="2">
        <f>COUNTIF(Bug_Report!$J$2:$J$55,"*"&amp;A41&amp;"*")</f>
        <v>0</v>
      </c>
    </row>
    <row r="42" spans="1:11">
      <c r="A42" s="2" t="s">
        <v>143</v>
      </c>
      <c r="B42" s="2" t="s">
        <v>107</v>
      </c>
      <c r="C42" s="2" t="s">
        <v>55</v>
      </c>
      <c r="D42" s="2" t="str">
        <f>_xlfn.TEXTJOIN(", ",TRUE,IF(Test_Cases!$C$2:$C$368=A42,Test_Cases!$A$2:$A$368,""))</f>
        <v/>
      </c>
      <c r="E42" s="2">
        <f>COUNTIF(Test_Cases!$C$2:$C$368,A42)</f>
        <v>0</v>
      </c>
      <c r="F42" s="2">
        <f>COUNTIFS(Test_Cases!$C$2:$C$368,A42,Test_Cases!$L$2:$L$368,"Passed")</f>
        <v>0</v>
      </c>
      <c r="G42" s="2">
        <f>COUNTIFS(Test_Cases!$C$2:$C$368,A42,Test_Cases!$L$2:$L$368,"Failed")</f>
        <v>0</v>
      </c>
      <c r="H42" s="2">
        <f>COUNTIFS(Test_Cases!$C$2:$C$368,A42,Test_Cases!$L$2:$L$368,"Blocked")</f>
        <v>0</v>
      </c>
      <c r="I42" s="2">
        <f>COUNTIFS(Test_Cases!$C$2:$C$368,A42,Test_Cases!$L$2:$L$368,"Not_Executed")</f>
        <v>0</v>
      </c>
      <c r="J42" s="2" t="str">
        <f t="shared" si="0"/>
        <v>Not Covered</v>
      </c>
      <c r="K42" s="2">
        <f>COUNTIF(Bug_Report!$J$2:$J$55,"*"&amp;A42&amp;"*")</f>
        <v>0</v>
      </c>
    </row>
    <row r="43" spans="1:11">
      <c r="A43" s="2" t="s">
        <v>145</v>
      </c>
      <c r="B43" s="2" t="s">
        <v>107</v>
      </c>
      <c r="C43" s="2" t="s">
        <v>55</v>
      </c>
      <c r="D43" s="2" t="str">
        <f>_xlfn.TEXTJOIN(", ",TRUE,IF(Test_Cases!$C$2:$C$368=A43,Test_Cases!$A$2:$A$368,""))</f>
        <v/>
      </c>
      <c r="E43" s="2">
        <f>COUNTIF(Test_Cases!$C$2:$C$368,A43)</f>
        <v>0</v>
      </c>
      <c r="F43" s="2">
        <f>COUNTIFS(Test_Cases!$C$2:$C$368,A43,Test_Cases!$L$2:$L$368,"Passed")</f>
        <v>0</v>
      </c>
      <c r="G43" s="2">
        <f>COUNTIFS(Test_Cases!$C$2:$C$368,A43,Test_Cases!$L$2:$L$368,"Failed")</f>
        <v>0</v>
      </c>
      <c r="H43" s="2">
        <f>COUNTIFS(Test_Cases!$C$2:$C$368,A43,Test_Cases!$L$2:$L$368,"Blocked")</f>
        <v>0</v>
      </c>
      <c r="I43" s="2">
        <f>COUNTIFS(Test_Cases!$C$2:$C$368,A43,Test_Cases!$L$2:$L$368,"Not_Executed")</f>
        <v>0</v>
      </c>
      <c r="J43" s="2" t="str">
        <f t="shared" si="0"/>
        <v>Not Covered</v>
      </c>
      <c r="K43" s="2">
        <f>COUNTIF(Bug_Report!$J$2:$J$55,"*"&amp;A43&amp;"*")</f>
        <v>0</v>
      </c>
    </row>
    <row r="44" spans="1:11">
      <c r="A44" s="2" t="s">
        <v>147</v>
      </c>
      <c r="B44" s="2" t="s">
        <v>107</v>
      </c>
      <c r="C44" s="2" t="s">
        <v>55</v>
      </c>
      <c r="D44" s="2" t="str">
        <f>_xlfn.TEXTJOIN(", ",TRUE,IF(Test_Cases!$C$2:$C$368=A44,Test_Cases!$A$2:$A$368,""))</f>
        <v/>
      </c>
      <c r="E44" s="2">
        <f>COUNTIF(Test_Cases!$C$2:$C$368,A44)</f>
        <v>0</v>
      </c>
      <c r="F44" s="2">
        <f>COUNTIFS(Test_Cases!$C$2:$C$368,A44,Test_Cases!$L$2:$L$368,"Passed")</f>
        <v>0</v>
      </c>
      <c r="G44" s="2">
        <f>COUNTIFS(Test_Cases!$C$2:$C$368,A44,Test_Cases!$L$2:$L$368,"Failed")</f>
        <v>0</v>
      </c>
      <c r="H44" s="2">
        <f>COUNTIFS(Test_Cases!$C$2:$C$368,A44,Test_Cases!$L$2:$L$368,"Blocked")</f>
        <v>0</v>
      </c>
      <c r="I44" s="2">
        <f>COUNTIFS(Test_Cases!$C$2:$C$368,A44,Test_Cases!$L$2:$L$368,"Not_Executed")</f>
        <v>0</v>
      </c>
      <c r="J44" s="2" t="str">
        <f t="shared" si="0"/>
        <v>Not Covered</v>
      </c>
      <c r="K44" s="2">
        <f>COUNTIF(Bug_Report!$J$2:$J$55,"*"&amp;A44&amp;"*")</f>
        <v>0</v>
      </c>
    </row>
    <row r="45" spans="1:11">
      <c r="A45" s="2" t="s">
        <v>149</v>
      </c>
      <c r="B45" s="2" t="s">
        <v>107</v>
      </c>
      <c r="C45" s="2" t="s">
        <v>113</v>
      </c>
      <c r="D45" s="2" t="str">
        <f>_xlfn.TEXTJOIN(", ",TRUE,IF(Test_Cases!$C$2:$C$368=A45,Test_Cases!$A$2:$A$368,""))</f>
        <v/>
      </c>
      <c r="E45" s="2">
        <f>COUNTIF(Test_Cases!$C$2:$C$368,A45)</f>
        <v>0</v>
      </c>
      <c r="F45" s="2">
        <f>COUNTIFS(Test_Cases!$C$2:$C$368,A45,Test_Cases!$L$2:$L$368,"Passed")</f>
        <v>0</v>
      </c>
      <c r="G45" s="2">
        <f>COUNTIFS(Test_Cases!$C$2:$C$368,A45,Test_Cases!$L$2:$L$368,"Failed")</f>
        <v>0</v>
      </c>
      <c r="H45" s="2">
        <f>COUNTIFS(Test_Cases!$C$2:$C$368,A45,Test_Cases!$L$2:$L$368,"Blocked")</f>
        <v>0</v>
      </c>
      <c r="I45" s="2">
        <f>COUNTIFS(Test_Cases!$C$2:$C$368,A45,Test_Cases!$L$2:$L$368,"Not_Executed")</f>
        <v>0</v>
      </c>
      <c r="J45" s="2" t="str">
        <f t="shared" si="0"/>
        <v>Not Covered</v>
      </c>
      <c r="K45" s="2">
        <f>COUNTIF(Bug_Report!$J$2:$J$55,"*"&amp;A45&amp;"*")</f>
        <v>0</v>
      </c>
    </row>
    <row r="46" spans="1:11">
      <c r="A46" s="2" t="s">
        <v>151</v>
      </c>
      <c r="B46" s="2" t="s">
        <v>107</v>
      </c>
      <c r="C46" s="2" t="s">
        <v>113</v>
      </c>
      <c r="D46" s="2" t="str">
        <f>_xlfn.TEXTJOIN(", ",TRUE,IF(Test_Cases!$C$2:$C$368=A46,Test_Cases!$A$2:$A$368,""))</f>
        <v/>
      </c>
      <c r="E46" s="2">
        <f>COUNTIF(Test_Cases!$C$2:$C$368,A46)</f>
        <v>0</v>
      </c>
      <c r="F46" s="2">
        <f>COUNTIFS(Test_Cases!$C$2:$C$368,A46,Test_Cases!$L$2:$L$368,"Passed")</f>
        <v>0</v>
      </c>
      <c r="G46" s="2">
        <f>COUNTIFS(Test_Cases!$C$2:$C$368,A46,Test_Cases!$L$2:$L$368,"Failed")</f>
        <v>0</v>
      </c>
      <c r="H46" s="2">
        <f>COUNTIFS(Test_Cases!$C$2:$C$368,A46,Test_Cases!$L$2:$L$368,"Blocked")</f>
        <v>0</v>
      </c>
      <c r="I46" s="2">
        <f>COUNTIFS(Test_Cases!$C$2:$C$368,A46,Test_Cases!$L$2:$L$368,"Not_Executed")</f>
        <v>0</v>
      </c>
      <c r="J46" s="2" t="str">
        <f t="shared" si="0"/>
        <v>Not Covered</v>
      </c>
      <c r="K46" s="2">
        <f>COUNTIF(Bug_Report!$J$2:$J$55,"*"&amp;A46&amp;"*")</f>
        <v>0</v>
      </c>
    </row>
    <row r="47" spans="1:11">
      <c r="A47" s="2" t="s">
        <v>153</v>
      </c>
      <c r="B47" s="2" t="s">
        <v>155</v>
      </c>
      <c r="C47" s="2" t="s">
        <v>55</v>
      </c>
      <c r="D47" s="2" t="str">
        <f>_xlfn.TEXTJOIN(", ",TRUE,IF(Test_Cases!$C$2:$C$368=A47,Test_Cases!$A$2:$A$368,""))</f>
        <v/>
      </c>
      <c r="E47" s="2">
        <f>COUNTIF(Test_Cases!$C$2:$C$368,A47)</f>
        <v>0</v>
      </c>
      <c r="F47" s="2">
        <f>COUNTIFS(Test_Cases!$C$2:$C$368,A47,Test_Cases!$L$2:$L$368,"Passed")</f>
        <v>0</v>
      </c>
      <c r="G47" s="2">
        <f>COUNTIFS(Test_Cases!$C$2:$C$368,A47,Test_Cases!$L$2:$L$368,"Failed")</f>
        <v>0</v>
      </c>
      <c r="H47" s="2">
        <f>COUNTIFS(Test_Cases!$C$2:$C$368,A47,Test_Cases!$L$2:$L$368,"Blocked")</f>
        <v>0</v>
      </c>
      <c r="I47" s="2">
        <f>COUNTIFS(Test_Cases!$C$2:$C$368,A47,Test_Cases!$L$2:$L$368,"Not_Executed")</f>
        <v>0</v>
      </c>
      <c r="J47" s="2" t="str">
        <f t="shared" si="0"/>
        <v>Not Covered</v>
      </c>
      <c r="K47" s="2">
        <f>COUNTIF(Bug_Report!$J$2:$J$55,"*"&amp;A47&amp;"*")</f>
        <v>0</v>
      </c>
    </row>
    <row r="48" spans="1:11">
      <c r="A48" s="2" t="s">
        <v>156</v>
      </c>
      <c r="B48" s="2" t="s">
        <v>155</v>
      </c>
      <c r="C48" s="2" t="s">
        <v>55</v>
      </c>
      <c r="D48" s="2" t="str">
        <f>_xlfn.TEXTJOIN(", ",TRUE,IF(Test_Cases!$C$2:$C$368=A48,Test_Cases!$A$2:$A$368,""))</f>
        <v/>
      </c>
      <c r="E48" s="2">
        <f>COUNTIF(Test_Cases!$C$2:$C$368,A48)</f>
        <v>0</v>
      </c>
      <c r="F48" s="2">
        <f>COUNTIFS(Test_Cases!$C$2:$C$368,A48,Test_Cases!$L$2:$L$368,"Passed")</f>
        <v>0</v>
      </c>
      <c r="G48" s="2">
        <f>COUNTIFS(Test_Cases!$C$2:$C$368,A48,Test_Cases!$L$2:$L$368,"Failed")</f>
        <v>0</v>
      </c>
      <c r="H48" s="2">
        <f>COUNTIFS(Test_Cases!$C$2:$C$368,A48,Test_Cases!$L$2:$L$368,"Blocked")</f>
        <v>0</v>
      </c>
      <c r="I48" s="2">
        <f>COUNTIFS(Test_Cases!$C$2:$C$368,A48,Test_Cases!$L$2:$L$368,"Not_Executed")</f>
        <v>0</v>
      </c>
      <c r="J48" s="2" t="str">
        <f t="shared" si="0"/>
        <v>Not Covered</v>
      </c>
      <c r="K48" s="2">
        <f>COUNTIF(Bug_Report!$J$2:$J$55,"*"&amp;A48&amp;"*")</f>
        <v>0</v>
      </c>
    </row>
    <row r="49" spans="1:11">
      <c r="A49" s="2" t="s">
        <v>158</v>
      </c>
      <c r="B49" s="2" t="s">
        <v>155</v>
      </c>
      <c r="C49" s="2" t="s">
        <v>55</v>
      </c>
      <c r="D49" s="2" t="str">
        <f>_xlfn.TEXTJOIN(", ",TRUE,IF(Test_Cases!$C$2:$C$368=A49,Test_Cases!$A$2:$A$368,""))</f>
        <v/>
      </c>
      <c r="E49" s="2">
        <f>COUNTIF(Test_Cases!$C$2:$C$368,A49)</f>
        <v>0</v>
      </c>
      <c r="F49" s="2">
        <f>COUNTIFS(Test_Cases!$C$2:$C$368,A49,Test_Cases!$L$2:$L$368,"Passed")</f>
        <v>0</v>
      </c>
      <c r="G49" s="2">
        <f>COUNTIFS(Test_Cases!$C$2:$C$368,A49,Test_Cases!$L$2:$L$368,"Failed")</f>
        <v>0</v>
      </c>
      <c r="H49" s="2">
        <f>COUNTIFS(Test_Cases!$C$2:$C$368,A49,Test_Cases!$L$2:$L$368,"Blocked")</f>
        <v>0</v>
      </c>
      <c r="I49" s="2">
        <f>COUNTIFS(Test_Cases!$C$2:$C$368,A49,Test_Cases!$L$2:$L$368,"Not_Executed")</f>
        <v>0</v>
      </c>
      <c r="J49" s="2" t="str">
        <f t="shared" si="0"/>
        <v>Not Covered</v>
      </c>
      <c r="K49" s="2">
        <f>COUNTIF(Bug_Report!$J$2:$J$55,"*"&amp;A49&amp;"*")</f>
        <v>0</v>
      </c>
    </row>
    <row r="50" spans="1:11">
      <c r="A50" s="2" t="s">
        <v>160</v>
      </c>
      <c r="B50" s="2" t="s">
        <v>155</v>
      </c>
      <c r="C50" s="2" t="s">
        <v>55</v>
      </c>
      <c r="D50" s="2" t="str">
        <f>_xlfn.TEXTJOIN(", ",TRUE,IF(Test_Cases!$C$2:$C$368=A50,Test_Cases!$A$2:$A$368,""))</f>
        <v/>
      </c>
      <c r="E50" s="2">
        <f>COUNTIF(Test_Cases!$C$2:$C$368,A50)</f>
        <v>0</v>
      </c>
      <c r="F50" s="2">
        <f>COUNTIFS(Test_Cases!$C$2:$C$368,A50,Test_Cases!$L$2:$L$368,"Passed")</f>
        <v>0</v>
      </c>
      <c r="G50" s="2">
        <f>COUNTIFS(Test_Cases!$C$2:$C$368,A50,Test_Cases!$L$2:$L$368,"Failed")</f>
        <v>0</v>
      </c>
      <c r="H50" s="2">
        <f>COUNTIFS(Test_Cases!$C$2:$C$368,A50,Test_Cases!$L$2:$L$368,"Blocked")</f>
        <v>0</v>
      </c>
      <c r="I50" s="2">
        <f>COUNTIFS(Test_Cases!$C$2:$C$368,A50,Test_Cases!$L$2:$L$368,"Not_Executed")</f>
        <v>0</v>
      </c>
      <c r="J50" s="2" t="str">
        <f t="shared" si="0"/>
        <v>Not Covered</v>
      </c>
      <c r="K50" s="2">
        <f>COUNTIF(Bug_Report!$J$2:$J$55,"*"&amp;A50&amp;"*")</f>
        <v>0</v>
      </c>
    </row>
    <row r="51" spans="1:11">
      <c r="A51" s="2" t="s">
        <v>162</v>
      </c>
      <c r="B51" s="2" t="s">
        <v>155</v>
      </c>
      <c r="C51" s="2" t="s">
        <v>55</v>
      </c>
      <c r="D51" s="2" t="str">
        <f>_xlfn.TEXTJOIN(", ",TRUE,IF(Test_Cases!$C$2:$C$368=A51,Test_Cases!$A$2:$A$368,""))</f>
        <v/>
      </c>
      <c r="E51" s="2">
        <f>COUNTIF(Test_Cases!$C$2:$C$368,A51)</f>
        <v>0</v>
      </c>
      <c r="F51" s="2">
        <f>COUNTIFS(Test_Cases!$C$2:$C$368,A51,Test_Cases!$L$2:$L$368,"Passed")</f>
        <v>0</v>
      </c>
      <c r="G51" s="2">
        <f>COUNTIFS(Test_Cases!$C$2:$C$368,A51,Test_Cases!$L$2:$L$368,"Failed")</f>
        <v>0</v>
      </c>
      <c r="H51" s="2">
        <f>COUNTIFS(Test_Cases!$C$2:$C$368,A51,Test_Cases!$L$2:$L$368,"Blocked")</f>
        <v>0</v>
      </c>
      <c r="I51" s="2">
        <f>COUNTIFS(Test_Cases!$C$2:$C$368,A51,Test_Cases!$L$2:$L$368,"Not_Executed")</f>
        <v>0</v>
      </c>
      <c r="J51" s="2" t="str">
        <f t="shared" si="0"/>
        <v>Not Covered</v>
      </c>
      <c r="K51" s="2">
        <f>COUNTIF(Bug_Report!$J$2:$J$55,"*"&amp;A51&amp;"*")</f>
        <v>0</v>
      </c>
    </row>
    <row r="52" spans="1:11">
      <c r="A52" s="2" t="s">
        <v>164</v>
      </c>
      <c r="B52" s="2" t="s">
        <v>155</v>
      </c>
      <c r="C52" s="2" t="s">
        <v>55</v>
      </c>
      <c r="D52" s="2" t="str">
        <f>_xlfn.TEXTJOIN(", ",TRUE,IF(Test_Cases!$C$2:$C$368=A52,Test_Cases!$A$2:$A$368,""))</f>
        <v/>
      </c>
      <c r="E52" s="2">
        <f>COUNTIF(Test_Cases!$C$2:$C$368,A52)</f>
        <v>0</v>
      </c>
      <c r="F52" s="2">
        <f>COUNTIFS(Test_Cases!$C$2:$C$368,A52,Test_Cases!$L$2:$L$368,"Passed")</f>
        <v>0</v>
      </c>
      <c r="G52" s="2">
        <f>COUNTIFS(Test_Cases!$C$2:$C$368,A52,Test_Cases!$L$2:$L$368,"Failed")</f>
        <v>0</v>
      </c>
      <c r="H52" s="2">
        <f>COUNTIFS(Test_Cases!$C$2:$C$368,A52,Test_Cases!$L$2:$L$368,"Blocked")</f>
        <v>0</v>
      </c>
      <c r="I52" s="2">
        <f>COUNTIFS(Test_Cases!$C$2:$C$368,A52,Test_Cases!$L$2:$L$368,"Not_Executed")</f>
        <v>0</v>
      </c>
      <c r="J52" s="2" t="str">
        <f t="shared" si="0"/>
        <v>Not Covered</v>
      </c>
      <c r="K52" s="2">
        <f>COUNTIF(Bug_Report!$J$2:$J$55,"*"&amp;A52&amp;"*")</f>
        <v>0</v>
      </c>
    </row>
    <row r="53" spans="1:11">
      <c r="A53" s="2" t="s">
        <v>166</v>
      </c>
      <c r="B53" s="2" t="s">
        <v>155</v>
      </c>
      <c r="C53" s="2" t="s">
        <v>55</v>
      </c>
      <c r="D53" s="2" t="str">
        <f>_xlfn.TEXTJOIN(", ",TRUE,IF(Test_Cases!$C$2:$C$368=A53,Test_Cases!$A$2:$A$368,""))</f>
        <v/>
      </c>
      <c r="E53" s="2">
        <f>COUNTIF(Test_Cases!$C$2:$C$368,A53)</f>
        <v>0</v>
      </c>
      <c r="F53" s="2">
        <f>COUNTIFS(Test_Cases!$C$2:$C$368,A53,Test_Cases!$L$2:$L$368,"Passed")</f>
        <v>0</v>
      </c>
      <c r="G53" s="2">
        <f>COUNTIFS(Test_Cases!$C$2:$C$368,A53,Test_Cases!$L$2:$L$368,"Failed")</f>
        <v>0</v>
      </c>
      <c r="H53" s="2">
        <f>COUNTIFS(Test_Cases!$C$2:$C$368,A53,Test_Cases!$L$2:$L$368,"Blocked")</f>
        <v>0</v>
      </c>
      <c r="I53" s="2">
        <f>COUNTIFS(Test_Cases!$C$2:$C$368,A53,Test_Cases!$L$2:$L$368,"Not_Executed")</f>
        <v>0</v>
      </c>
      <c r="J53" s="2" t="str">
        <f t="shared" si="0"/>
        <v>Not Covered</v>
      </c>
      <c r="K53" s="2">
        <f>COUNTIF(Bug_Report!$J$2:$J$55,"*"&amp;A53&amp;"*")</f>
        <v>0</v>
      </c>
    </row>
    <row r="54" spans="1:11">
      <c r="A54" s="2" t="s">
        <v>168</v>
      </c>
      <c r="B54" s="2" t="s">
        <v>155</v>
      </c>
      <c r="C54" s="2" t="s">
        <v>55</v>
      </c>
      <c r="D54" s="2" t="str">
        <f>_xlfn.TEXTJOIN(", ",TRUE,IF(Test_Cases!$C$2:$C$368=A54,Test_Cases!$A$2:$A$368,""))</f>
        <v/>
      </c>
      <c r="E54" s="2">
        <f>COUNTIF(Test_Cases!$C$2:$C$368,A54)</f>
        <v>0</v>
      </c>
      <c r="F54" s="2">
        <f>COUNTIFS(Test_Cases!$C$2:$C$368,A54,Test_Cases!$L$2:$L$368,"Passed")</f>
        <v>0</v>
      </c>
      <c r="G54" s="2">
        <f>COUNTIFS(Test_Cases!$C$2:$C$368,A54,Test_Cases!$L$2:$L$368,"Failed")</f>
        <v>0</v>
      </c>
      <c r="H54" s="2">
        <f>COUNTIFS(Test_Cases!$C$2:$C$368,A54,Test_Cases!$L$2:$L$368,"Blocked")</f>
        <v>0</v>
      </c>
      <c r="I54" s="2">
        <f>COUNTIFS(Test_Cases!$C$2:$C$368,A54,Test_Cases!$L$2:$L$368,"Not_Executed")</f>
        <v>0</v>
      </c>
      <c r="J54" s="2" t="str">
        <f t="shared" si="0"/>
        <v>Not Covered</v>
      </c>
      <c r="K54" s="2">
        <f>COUNTIF(Bug_Report!$J$2:$J$55,"*"&amp;A54&amp;"*")</f>
        <v>0</v>
      </c>
    </row>
    <row r="55" spans="1:11">
      <c r="A55" s="2" t="s">
        <v>170</v>
      </c>
      <c r="B55" s="2" t="s">
        <v>155</v>
      </c>
      <c r="C55" s="2" t="s">
        <v>55</v>
      </c>
      <c r="D55" s="2" t="str">
        <f>_xlfn.TEXTJOIN(", ",TRUE,IF(Test_Cases!$C$2:$C$368=A55,Test_Cases!$A$2:$A$368,""))</f>
        <v/>
      </c>
      <c r="E55" s="2">
        <f>COUNTIF(Test_Cases!$C$2:$C$368,A55)</f>
        <v>0</v>
      </c>
      <c r="F55" s="2">
        <f>COUNTIFS(Test_Cases!$C$2:$C$368,A55,Test_Cases!$L$2:$L$368,"Passed")</f>
        <v>0</v>
      </c>
      <c r="G55" s="2">
        <f>COUNTIFS(Test_Cases!$C$2:$C$368,A55,Test_Cases!$L$2:$L$368,"Failed")</f>
        <v>0</v>
      </c>
      <c r="H55" s="2">
        <f>COUNTIFS(Test_Cases!$C$2:$C$368,A55,Test_Cases!$L$2:$L$368,"Blocked")</f>
        <v>0</v>
      </c>
      <c r="I55" s="2">
        <f>COUNTIFS(Test_Cases!$C$2:$C$368,A55,Test_Cases!$L$2:$L$368,"Not_Executed")</f>
        <v>0</v>
      </c>
      <c r="J55" s="2" t="str">
        <f t="shared" si="0"/>
        <v>Not Covered</v>
      </c>
      <c r="K55" s="2">
        <f>COUNTIF(Bug_Report!$J$2:$J$55,"*"&amp;A55&amp;"*")</f>
        <v>0</v>
      </c>
    </row>
    <row r="56" spans="1:11">
      <c r="A56" s="2" t="s">
        <v>172</v>
      </c>
      <c r="B56" s="2" t="s">
        <v>155</v>
      </c>
      <c r="C56" s="2" t="s">
        <v>55</v>
      </c>
      <c r="D56" s="2" t="str">
        <f>_xlfn.TEXTJOIN(", ",TRUE,IF(Test_Cases!$C$2:$C$368=A56,Test_Cases!$A$2:$A$368,""))</f>
        <v/>
      </c>
      <c r="E56" s="2">
        <f>COUNTIF(Test_Cases!$C$2:$C$368,A56)</f>
        <v>0</v>
      </c>
      <c r="F56" s="2">
        <f>COUNTIFS(Test_Cases!$C$2:$C$368,A56,Test_Cases!$L$2:$L$368,"Passed")</f>
        <v>0</v>
      </c>
      <c r="G56" s="2">
        <f>COUNTIFS(Test_Cases!$C$2:$C$368,A56,Test_Cases!$L$2:$L$368,"Failed")</f>
        <v>0</v>
      </c>
      <c r="H56" s="2">
        <f>COUNTIFS(Test_Cases!$C$2:$C$368,A56,Test_Cases!$L$2:$L$368,"Blocked")</f>
        <v>0</v>
      </c>
      <c r="I56" s="2">
        <f>COUNTIFS(Test_Cases!$C$2:$C$368,A56,Test_Cases!$L$2:$L$368,"Not_Executed")</f>
        <v>0</v>
      </c>
      <c r="J56" s="2" t="str">
        <f t="shared" si="0"/>
        <v>Not Covered</v>
      </c>
      <c r="K56" s="2">
        <f>COUNTIF(Bug_Report!$J$2:$J$55,"*"&amp;A56&amp;"*")</f>
        <v>0</v>
      </c>
    </row>
    <row r="57" spans="1:11">
      <c r="A57" s="2" t="s">
        <v>174</v>
      </c>
      <c r="B57" s="2" t="s">
        <v>80</v>
      </c>
      <c r="C57" s="2" t="s">
        <v>55</v>
      </c>
      <c r="D57" s="2" t="str">
        <f>_xlfn.TEXTJOIN(", ",TRUE,IF(Test_Cases!$C$2:$C$368=A57,Test_Cases!$A$2:$A$368,""))</f>
        <v/>
      </c>
      <c r="E57" s="2">
        <f>COUNTIF(Test_Cases!$C$2:$C$368,A57)</f>
        <v>0</v>
      </c>
      <c r="F57" s="2">
        <f>COUNTIFS(Test_Cases!$C$2:$C$368,A57,Test_Cases!$L$2:$L$368,"Passed")</f>
        <v>0</v>
      </c>
      <c r="G57" s="2">
        <f>COUNTIFS(Test_Cases!$C$2:$C$368,A57,Test_Cases!$L$2:$L$368,"Failed")</f>
        <v>0</v>
      </c>
      <c r="H57" s="2">
        <f>COUNTIFS(Test_Cases!$C$2:$C$368,A57,Test_Cases!$L$2:$L$368,"Blocked")</f>
        <v>0</v>
      </c>
      <c r="I57" s="2">
        <f>COUNTIFS(Test_Cases!$C$2:$C$368,A57,Test_Cases!$L$2:$L$368,"Not_Executed")</f>
        <v>0</v>
      </c>
      <c r="J57" s="2" t="str">
        <f t="shared" si="0"/>
        <v>Not Covered</v>
      </c>
      <c r="K57" s="2">
        <f>COUNTIF(Bug_Report!$J$2:$J$55,"*"&amp;A57&amp;"*")</f>
        <v>0</v>
      </c>
    </row>
    <row r="58" spans="1:11">
      <c r="A58" s="2" t="s">
        <v>176</v>
      </c>
      <c r="B58" s="2" t="s">
        <v>178</v>
      </c>
      <c r="C58" s="2" t="s">
        <v>55</v>
      </c>
      <c r="D58" s="2" t="str">
        <f>_xlfn.TEXTJOIN(", ",TRUE,IF(Test_Cases!$C$2:$C$368=A58,Test_Cases!$A$2:$A$368,""))</f>
        <v/>
      </c>
      <c r="E58" s="2">
        <f>COUNTIF(Test_Cases!$C$2:$C$368,A58)</f>
        <v>0</v>
      </c>
      <c r="F58" s="2">
        <f>COUNTIFS(Test_Cases!$C$2:$C$368,A58,Test_Cases!$L$2:$L$368,"Passed")</f>
        <v>0</v>
      </c>
      <c r="G58" s="2">
        <f>COUNTIFS(Test_Cases!$C$2:$C$368,A58,Test_Cases!$L$2:$L$368,"Failed")</f>
        <v>0</v>
      </c>
      <c r="H58" s="2">
        <f>COUNTIFS(Test_Cases!$C$2:$C$368,A58,Test_Cases!$L$2:$L$368,"Blocked")</f>
        <v>0</v>
      </c>
      <c r="I58" s="2">
        <f>COUNTIFS(Test_Cases!$C$2:$C$368,A58,Test_Cases!$L$2:$L$368,"Not_Executed")</f>
        <v>0</v>
      </c>
      <c r="J58" s="2" t="str">
        <f t="shared" si="0"/>
        <v>Not Covered</v>
      </c>
      <c r="K58" s="2">
        <f>COUNTIF(Bug_Report!$J$2:$J$55,"*"&amp;A58&amp;"*")</f>
        <v>0</v>
      </c>
    </row>
    <row r="59" spans="1:11">
      <c r="A59" s="2" t="s">
        <v>179</v>
      </c>
      <c r="B59" s="2" t="s">
        <v>178</v>
      </c>
      <c r="C59" s="2" t="s">
        <v>55</v>
      </c>
      <c r="D59" s="2" t="str">
        <f>_xlfn.TEXTJOIN(", ",TRUE,IF(Test_Cases!$C$2:$C$368=A59,Test_Cases!$A$2:$A$368,""))</f>
        <v/>
      </c>
      <c r="E59" s="2">
        <f>COUNTIF(Test_Cases!$C$2:$C$368,A59)</f>
        <v>0</v>
      </c>
      <c r="F59" s="2">
        <f>COUNTIFS(Test_Cases!$C$2:$C$368,A59,Test_Cases!$L$2:$L$368,"Passed")</f>
        <v>0</v>
      </c>
      <c r="G59" s="2">
        <f>COUNTIFS(Test_Cases!$C$2:$C$368,A59,Test_Cases!$L$2:$L$368,"Failed")</f>
        <v>0</v>
      </c>
      <c r="H59" s="2">
        <f>COUNTIFS(Test_Cases!$C$2:$C$368,A59,Test_Cases!$L$2:$L$368,"Blocked")</f>
        <v>0</v>
      </c>
      <c r="I59" s="2">
        <f>COUNTIFS(Test_Cases!$C$2:$C$368,A59,Test_Cases!$L$2:$L$368,"Not_Executed")</f>
        <v>0</v>
      </c>
      <c r="J59" s="2" t="str">
        <f t="shared" si="0"/>
        <v>Not Covered</v>
      </c>
      <c r="K59" s="2">
        <f>COUNTIF(Bug_Report!$J$2:$J$55,"*"&amp;A59&amp;"*")</f>
        <v>2</v>
      </c>
    </row>
    <row r="60" spans="1:11">
      <c r="A60" s="2" t="s">
        <v>181</v>
      </c>
      <c r="B60" s="2" t="s">
        <v>178</v>
      </c>
      <c r="C60" s="2" t="s">
        <v>55</v>
      </c>
      <c r="D60" s="2" t="str">
        <f>_xlfn.TEXTJOIN(", ",TRUE,IF(Test_Cases!$C$2:$C$368=A60,Test_Cases!$A$2:$A$368,""))</f>
        <v/>
      </c>
      <c r="E60" s="2">
        <f>COUNTIF(Test_Cases!$C$2:$C$368,A60)</f>
        <v>0</v>
      </c>
      <c r="F60" s="2">
        <f>COUNTIFS(Test_Cases!$C$2:$C$368,A60,Test_Cases!$L$2:$L$368,"Passed")</f>
        <v>0</v>
      </c>
      <c r="G60" s="2">
        <f>COUNTIFS(Test_Cases!$C$2:$C$368,A60,Test_Cases!$L$2:$L$368,"Failed")</f>
        <v>0</v>
      </c>
      <c r="H60" s="2">
        <f>COUNTIFS(Test_Cases!$C$2:$C$368,A60,Test_Cases!$L$2:$L$368,"Blocked")</f>
        <v>0</v>
      </c>
      <c r="I60" s="2">
        <f>COUNTIFS(Test_Cases!$C$2:$C$368,A60,Test_Cases!$L$2:$L$368,"Not_Executed")</f>
        <v>0</v>
      </c>
      <c r="J60" s="2" t="str">
        <f t="shared" si="0"/>
        <v>Not Covered</v>
      </c>
      <c r="K60" s="2">
        <f>COUNTIF(Bug_Report!$J$2:$J$55,"*"&amp;A60&amp;"*")</f>
        <v>1</v>
      </c>
    </row>
    <row r="61" spans="1:11">
      <c r="A61" s="2" t="s">
        <v>183</v>
      </c>
      <c r="B61" s="2" t="s">
        <v>178</v>
      </c>
      <c r="C61" s="2" t="s">
        <v>55</v>
      </c>
      <c r="D61" s="2" t="str">
        <f>_xlfn.TEXTJOIN(", ",TRUE,IF(Test_Cases!$C$2:$C$368=A61,Test_Cases!$A$2:$A$368,""))</f>
        <v/>
      </c>
      <c r="E61" s="2">
        <f>COUNTIF(Test_Cases!$C$2:$C$368,A61)</f>
        <v>0</v>
      </c>
      <c r="F61" s="2">
        <f>COUNTIFS(Test_Cases!$C$2:$C$368,A61,Test_Cases!$L$2:$L$368,"Passed")</f>
        <v>0</v>
      </c>
      <c r="G61" s="2">
        <f>COUNTIFS(Test_Cases!$C$2:$C$368,A61,Test_Cases!$L$2:$L$368,"Failed")</f>
        <v>0</v>
      </c>
      <c r="H61" s="2">
        <f>COUNTIFS(Test_Cases!$C$2:$C$368,A61,Test_Cases!$L$2:$L$368,"Blocked")</f>
        <v>0</v>
      </c>
      <c r="I61" s="2">
        <f>COUNTIFS(Test_Cases!$C$2:$C$368,A61,Test_Cases!$L$2:$L$368,"Not_Executed")</f>
        <v>0</v>
      </c>
      <c r="J61" s="2" t="str">
        <f t="shared" si="0"/>
        <v>Not Covered</v>
      </c>
      <c r="K61" s="2">
        <f>COUNTIF(Bug_Report!$J$2:$J$55,"*"&amp;A61&amp;"*")</f>
        <v>0</v>
      </c>
    </row>
    <row r="62" spans="1:11">
      <c r="A62" s="2" t="s">
        <v>185</v>
      </c>
      <c r="B62" s="2" t="s">
        <v>178</v>
      </c>
      <c r="C62" s="2" t="s">
        <v>55</v>
      </c>
      <c r="D62" s="2" t="str">
        <f>_xlfn.TEXTJOIN(", ",TRUE,IF(Test_Cases!$C$2:$C$368=A62,Test_Cases!$A$2:$A$368,""))</f>
        <v/>
      </c>
      <c r="E62" s="2">
        <f>COUNTIF(Test_Cases!$C$2:$C$368,A62)</f>
        <v>0</v>
      </c>
      <c r="F62" s="2">
        <f>COUNTIFS(Test_Cases!$C$2:$C$368,A62,Test_Cases!$L$2:$L$368,"Passed")</f>
        <v>0</v>
      </c>
      <c r="G62" s="2">
        <f>COUNTIFS(Test_Cases!$C$2:$C$368,A62,Test_Cases!$L$2:$L$368,"Failed")</f>
        <v>0</v>
      </c>
      <c r="H62" s="2">
        <f>COUNTIFS(Test_Cases!$C$2:$C$368,A62,Test_Cases!$L$2:$L$368,"Blocked")</f>
        <v>0</v>
      </c>
      <c r="I62" s="2">
        <f>COUNTIFS(Test_Cases!$C$2:$C$368,A62,Test_Cases!$L$2:$L$368,"Not_Executed")</f>
        <v>0</v>
      </c>
      <c r="J62" s="2" t="str">
        <f t="shared" si="0"/>
        <v>Not Covered</v>
      </c>
      <c r="K62" s="2">
        <f>COUNTIF(Bug_Report!$J$2:$J$55,"*"&amp;A62&amp;"*")</f>
        <v>1</v>
      </c>
    </row>
    <row r="63" spans="1:11">
      <c r="A63" s="2" t="s">
        <v>187</v>
      </c>
      <c r="B63" s="2" t="s">
        <v>178</v>
      </c>
      <c r="C63" s="2" t="s">
        <v>55</v>
      </c>
      <c r="D63" s="2" t="str">
        <f>_xlfn.TEXTJOIN(", ",TRUE,IF(Test_Cases!$C$2:$C$368=A63,Test_Cases!$A$2:$A$368,""))</f>
        <v/>
      </c>
      <c r="E63" s="2">
        <f>COUNTIF(Test_Cases!$C$2:$C$368,A63)</f>
        <v>0</v>
      </c>
      <c r="F63" s="2">
        <f>COUNTIFS(Test_Cases!$C$2:$C$368,A63,Test_Cases!$L$2:$L$368,"Passed")</f>
        <v>0</v>
      </c>
      <c r="G63" s="2">
        <f>COUNTIFS(Test_Cases!$C$2:$C$368,A63,Test_Cases!$L$2:$L$368,"Failed")</f>
        <v>0</v>
      </c>
      <c r="H63" s="2">
        <f>COUNTIFS(Test_Cases!$C$2:$C$368,A63,Test_Cases!$L$2:$L$368,"Blocked")</f>
        <v>0</v>
      </c>
      <c r="I63" s="2">
        <f>COUNTIFS(Test_Cases!$C$2:$C$368,A63,Test_Cases!$L$2:$L$368,"Not_Executed")</f>
        <v>0</v>
      </c>
      <c r="J63" s="2" t="str">
        <f t="shared" si="0"/>
        <v>Not Covered</v>
      </c>
      <c r="K63" s="2">
        <f>COUNTIF(Bug_Report!$J$2:$J$55,"*"&amp;A63&amp;"*")</f>
        <v>2</v>
      </c>
    </row>
    <row r="64" spans="1:11">
      <c r="A64" s="2" t="s">
        <v>189</v>
      </c>
      <c r="B64" s="2" t="s">
        <v>178</v>
      </c>
      <c r="C64" s="2" t="s">
        <v>55</v>
      </c>
      <c r="D64" s="2" t="str">
        <f>_xlfn.TEXTJOIN(", ",TRUE,IF(Test_Cases!$C$2:$C$368=A64,Test_Cases!$A$2:$A$368,""))</f>
        <v/>
      </c>
      <c r="E64" s="2">
        <f>COUNTIF(Test_Cases!$C$2:$C$368,A64)</f>
        <v>0</v>
      </c>
      <c r="F64" s="2">
        <f>COUNTIFS(Test_Cases!$C$2:$C$368,A64,Test_Cases!$L$2:$L$368,"Passed")</f>
        <v>0</v>
      </c>
      <c r="G64" s="2">
        <f>COUNTIFS(Test_Cases!$C$2:$C$368,A64,Test_Cases!$L$2:$L$368,"Failed")</f>
        <v>0</v>
      </c>
      <c r="H64" s="2">
        <f>COUNTIFS(Test_Cases!$C$2:$C$368,A64,Test_Cases!$L$2:$L$368,"Blocked")</f>
        <v>0</v>
      </c>
      <c r="I64" s="2">
        <f>COUNTIFS(Test_Cases!$C$2:$C$368,A64,Test_Cases!$L$2:$L$368,"Not_Executed")</f>
        <v>0</v>
      </c>
      <c r="J64" s="2" t="str">
        <f t="shared" si="0"/>
        <v>Not Covered</v>
      </c>
      <c r="K64" s="2">
        <f>COUNTIF(Bug_Report!$J$2:$J$55,"*"&amp;A64&amp;"*")</f>
        <v>0</v>
      </c>
    </row>
    <row r="65" spans="1:11">
      <c r="A65" s="2" t="s">
        <v>191</v>
      </c>
      <c r="B65" s="2" t="s">
        <v>178</v>
      </c>
      <c r="C65" s="2" t="s">
        <v>55</v>
      </c>
      <c r="D65" s="2" t="str">
        <f>_xlfn.TEXTJOIN(", ",TRUE,IF(Test_Cases!$C$2:$C$368=A65,Test_Cases!$A$2:$A$368,""))</f>
        <v/>
      </c>
      <c r="E65" s="2">
        <f>COUNTIF(Test_Cases!$C$2:$C$368,A65)</f>
        <v>0</v>
      </c>
      <c r="F65" s="2">
        <f>COUNTIFS(Test_Cases!$C$2:$C$368,A65,Test_Cases!$L$2:$L$368,"Passed")</f>
        <v>0</v>
      </c>
      <c r="G65" s="2">
        <f>COUNTIFS(Test_Cases!$C$2:$C$368,A65,Test_Cases!$L$2:$L$368,"Failed")</f>
        <v>0</v>
      </c>
      <c r="H65" s="2">
        <f>COUNTIFS(Test_Cases!$C$2:$C$368,A65,Test_Cases!$L$2:$L$368,"Blocked")</f>
        <v>0</v>
      </c>
      <c r="I65" s="2">
        <f>COUNTIFS(Test_Cases!$C$2:$C$368,A65,Test_Cases!$L$2:$L$368,"Not_Executed")</f>
        <v>0</v>
      </c>
      <c r="J65" s="2" t="str">
        <f t="shared" si="0"/>
        <v>Not Covered</v>
      </c>
      <c r="K65" s="2">
        <f>COUNTIF(Bug_Report!$J$2:$J$55,"*"&amp;A65&amp;"*")</f>
        <v>0</v>
      </c>
    </row>
    <row r="66" spans="1:11">
      <c r="A66" s="2" t="s">
        <v>193</v>
      </c>
      <c r="B66" s="2" t="s">
        <v>178</v>
      </c>
      <c r="C66" s="2" t="s">
        <v>55</v>
      </c>
      <c r="D66" s="2" t="str">
        <f>_xlfn.TEXTJOIN(", ",TRUE,IF(Test_Cases!$C$2:$C$368=A66,Test_Cases!$A$2:$A$368,""))</f>
        <v/>
      </c>
      <c r="E66" s="2">
        <f>COUNTIF(Test_Cases!$C$2:$C$368,A66)</f>
        <v>0</v>
      </c>
      <c r="F66" s="2">
        <f>COUNTIFS(Test_Cases!$C$2:$C$368,A66,Test_Cases!$L$2:$L$368,"Passed")</f>
        <v>0</v>
      </c>
      <c r="G66" s="2">
        <f>COUNTIFS(Test_Cases!$C$2:$C$368,A66,Test_Cases!$L$2:$L$368,"Failed")</f>
        <v>0</v>
      </c>
      <c r="H66" s="2">
        <f>COUNTIFS(Test_Cases!$C$2:$C$368,A66,Test_Cases!$L$2:$L$368,"Blocked")</f>
        <v>0</v>
      </c>
      <c r="I66" s="2">
        <f>COUNTIFS(Test_Cases!$C$2:$C$368,A66,Test_Cases!$L$2:$L$368,"Not_Executed")</f>
        <v>0</v>
      </c>
      <c r="J66" s="2" t="str">
        <f t="shared" ref="J66:J129" si="1">IF(E66=0,"Not Covered",IF(G66&gt;0,"Failing",IF(F66=E66,"Fully Covered","Partial")))</f>
        <v>Not Covered</v>
      </c>
      <c r="K66" s="2">
        <f>COUNTIF(Bug_Report!$J$2:$J$55,"*"&amp;A66&amp;"*")</f>
        <v>0</v>
      </c>
    </row>
    <row r="67" spans="1:11">
      <c r="A67" s="2" t="s">
        <v>195</v>
      </c>
      <c r="B67" s="2" t="s">
        <v>178</v>
      </c>
      <c r="C67" s="2" t="s">
        <v>55</v>
      </c>
      <c r="D67" s="2" t="str">
        <f>_xlfn.TEXTJOIN(", ",TRUE,IF(Test_Cases!$C$2:$C$368=A67,Test_Cases!$A$2:$A$368,""))</f>
        <v/>
      </c>
      <c r="E67" s="2">
        <f>COUNTIF(Test_Cases!$C$2:$C$368,A67)</f>
        <v>0</v>
      </c>
      <c r="F67" s="2">
        <f>COUNTIFS(Test_Cases!$C$2:$C$368,A67,Test_Cases!$L$2:$L$368,"Passed")</f>
        <v>0</v>
      </c>
      <c r="G67" s="2">
        <f>COUNTIFS(Test_Cases!$C$2:$C$368,A67,Test_Cases!$L$2:$L$368,"Failed")</f>
        <v>0</v>
      </c>
      <c r="H67" s="2">
        <f>COUNTIFS(Test_Cases!$C$2:$C$368,A67,Test_Cases!$L$2:$L$368,"Blocked")</f>
        <v>0</v>
      </c>
      <c r="I67" s="2">
        <f>COUNTIFS(Test_Cases!$C$2:$C$368,A67,Test_Cases!$L$2:$L$368,"Not_Executed")</f>
        <v>0</v>
      </c>
      <c r="J67" s="2" t="str">
        <f t="shared" si="1"/>
        <v>Not Covered</v>
      </c>
      <c r="K67" s="2">
        <f>COUNTIF(Bug_Report!$J$2:$J$55,"*"&amp;A67&amp;"*")</f>
        <v>0</v>
      </c>
    </row>
    <row r="68" spans="1:11">
      <c r="A68" s="2" t="s">
        <v>197</v>
      </c>
      <c r="B68" s="2" t="s">
        <v>178</v>
      </c>
      <c r="C68" s="2" t="s">
        <v>113</v>
      </c>
      <c r="D68" s="2" t="str">
        <f>_xlfn.TEXTJOIN(", ",TRUE,IF(Test_Cases!$C$2:$C$368=A68,Test_Cases!$A$2:$A$368,""))</f>
        <v/>
      </c>
      <c r="E68" s="2">
        <f>COUNTIF(Test_Cases!$C$2:$C$368,A68)</f>
        <v>0</v>
      </c>
      <c r="F68" s="2">
        <f>COUNTIFS(Test_Cases!$C$2:$C$368,A68,Test_Cases!$L$2:$L$368,"Passed")</f>
        <v>0</v>
      </c>
      <c r="G68" s="2">
        <f>COUNTIFS(Test_Cases!$C$2:$C$368,A68,Test_Cases!$L$2:$L$368,"Failed")</f>
        <v>0</v>
      </c>
      <c r="H68" s="2">
        <f>COUNTIFS(Test_Cases!$C$2:$C$368,A68,Test_Cases!$L$2:$L$368,"Blocked")</f>
        <v>0</v>
      </c>
      <c r="I68" s="2">
        <f>COUNTIFS(Test_Cases!$C$2:$C$368,A68,Test_Cases!$L$2:$L$368,"Not_Executed")</f>
        <v>0</v>
      </c>
      <c r="J68" s="2" t="str">
        <f t="shared" si="1"/>
        <v>Not Covered</v>
      </c>
      <c r="K68" s="2">
        <f>COUNTIF(Bug_Report!$J$2:$J$55,"*"&amp;A68&amp;"*")</f>
        <v>0</v>
      </c>
    </row>
    <row r="69" spans="1:11">
      <c r="A69" s="2" t="s">
        <v>199</v>
      </c>
      <c r="B69" s="2" t="s">
        <v>178</v>
      </c>
      <c r="C69" s="2" t="s">
        <v>201</v>
      </c>
      <c r="D69" s="2" t="str">
        <f>_xlfn.TEXTJOIN(", ",TRUE,IF(Test_Cases!$C$2:$C$368=A69,Test_Cases!$A$2:$A$368,""))</f>
        <v/>
      </c>
      <c r="E69" s="2">
        <f>COUNTIF(Test_Cases!$C$2:$C$368,A69)</f>
        <v>0</v>
      </c>
      <c r="F69" s="2">
        <f>COUNTIFS(Test_Cases!$C$2:$C$368,A69,Test_Cases!$L$2:$L$368,"Passed")</f>
        <v>0</v>
      </c>
      <c r="G69" s="2">
        <f>COUNTIFS(Test_Cases!$C$2:$C$368,A69,Test_Cases!$L$2:$L$368,"Failed")</f>
        <v>0</v>
      </c>
      <c r="H69" s="2">
        <f>COUNTIFS(Test_Cases!$C$2:$C$368,A69,Test_Cases!$L$2:$L$368,"Blocked")</f>
        <v>0</v>
      </c>
      <c r="I69" s="2">
        <f>COUNTIFS(Test_Cases!$C$2:$C$368,A69,Test_Cases!$L$2:$L$368,"Not_Executed")</f>
        <v>0</v>
      </c>
      <c r="J69" s="2" t="str">
        <f t="shared" si="1"/>
        <v>Not Covered</v>
      </c>
      <c r="K69" s="2">
        <f>COUNTIF(Bug_Report!$J$2:$J$55,"*"&amp;A69&amp;"*")</f>
        <v>0</v>
      </c>
    </row>
    <row r="70" spans="1:11">
      <c r="A70" s="2" t="s">
        <v>202</v>
      </c>
      <c r="B70" s="2" t="s">
        <v>178</v>
      </c>
      <c r="C70" s="2" t="s">
        <v>55</v>
      </c>
      <c r="D70" s="2" t="str">
        <f>_xlfn.TEXTJOIN(", ",TRUE,IF(Test_Cases!$C$2:$C$368=A70,Test_Cases!$A$2:$A$368,""))</f>
        <v/>
      </c>
      <c r="E70" s="2">
        <f>COUNTIF(Test_Cases!$C$2:$C$368,A70)</f>
        <v>0</v>
      </c>
      <c r="F70" s="2">
        <f>COUNTIFS(Test_Cases!$C$2:$C$368,A70,Test_Cases!$L$2:$L$368,"Passed")</f>
        <v>0</v>
      </c>
      <c r="G70" s="2">
        <f>COUNTIFS(Test_Cases!$C$2:$C$368,A70,Test_Cases!$L$2:$L$368,"Failed")</f>
        <v>0</v>
      </c>
      <c r="H70" s="2">
        <f>COUNTIFS(Test_Cases!$C$2:$C$368,A70,Test_Cases!$L$2:$L$368,"Blocked")</f>
        <v>0</v>
      </c>
      <c r="I70" s="2">
        <f>COUNTIFS(Test_Cases!$C$2:$C$368,A70,Test_Cases!$L$2:$L$368,"Not_Executed")</f>
        <v>0</v>
      </c>
      <c r="J70" s="2" t="str">
        <f t="shared" si="1"/>
        <v>Not Covered</v>
      </c>
      <c r="K70" s="2">
        <f>COUNTIF(Bug_Report!$J$2:$J$55,"*"&amp;A70&amp;"*")</f>
        <v>0</v>
      </c>
    </row>
    <row r="71" spans="1:11">
      <c r="A71" s="2" t="s">
        <v>204</v>
      </c>
      <c r="B71" s="2" t="s">
        <v>178</v>
      </c>
      <c r="C71" s="2" t="s">
        <v>55</v>
      </c>
      <c r="D71" s="2" t="str">
        <f>_xlfn.TEXTJOIN(", ",TRUE,IF(Test_Cases!$C$2:$C$368=A71,Test_Cases!$A$2:$A$368,""))</f>
        <v/>
      </c>
      <c r="E71" s="2">
        <f>COUNTIF(Test_Cases!$C$2:$C$368,A71)</f>
        <v>0</v>
      </c>
      <c r="F71" s="2">
        <f>COUNTIFS(Test_Cases!$C$2:$C$368,A71,Test_Cases!$L$2:$L$368,"Passed")</f>
        <v>0</v>
      </c>
      <c r="G71" s="2">
        <f>COUNTIFS(Test_Cases!$C$2:$C$368,A71,Test_Cases!$L$2:$L$368,"Failed")</f>
        <v>0</v>
      </c>
      <c r="H71" s="2">
        <f>COUNTIFS(Test_Cases!$C$2:$C$368,A71,Test_Cases!$L$2:$L$368,"Blocked")</f>
        <v>0</v>
      </c>
      <c r="I71" s="2">
        <f>COUNTIFS(Test_Cases!$C$2:$C$368,A71,Test_Cases!$L$2:$L$368,"Not_Executed")</f>
        <v>0</v>
      </c>
      <c r="J71" s="2" t="str">
        <f t="shared" si="1"/>
        <v>Not Covered</v>
      </c>
      <c r="K71" s="2">
        <f>COUNTIF(Bug_Report!$J$2:$J$55,"*"&amp;A71&amp;"*")</f>
        <v>0</v>
      </c>
    </row>
    <row r="72" spans="1:11">
      <c r="A72" s="2" t="s">
        <v>206</v>
      </c>
      <c r="B72" s="2" t="s">
        <v>178</v>
      </c>
      <c r="C72" s="2" t="s">
        <v>55</v>
      </c>
      <c r="D72" s="2" t="str">
        <f>_xlfn.TEXTJOIN(", ",TRUE,IF(Test_Cases!$C$2:$C$368=A72,Test_Cases!$A$2:$A$368,""))</f>
        <v/>
      </c>
      <c r="E72" s="2">
        <f>COUNTIF(Test_Cases!$C$2:$C$368,A72)</f>
        <v>0</v>
      </c>
      <c r="F72" s="2">
        <f>COUNTIFS(Test_Cases!$C$2:$C$368,A72,Test_Cases!$L$2:$L$368,"Passed")</f>
        <v>0</v>
      </c>
      <c r="G72" s="2">
        <f>COUNTIFS(Test_Cases!$C$2:$C$368,A72,Test_Cases!$L$2:$L$368,"Failed")</f>
        <v>0</v>
      </c>
      <c r="H72" s="2">
        <f>COUNTIFS(Test_Cases!$C$2:$C$368,A72,Test_Cases!$L$2:$L$368,"Blocked")</f>
        <v>0</v>
      </c>
      <c r="I72" s="2">
        <f>COUNTIFS(Test_Cases!$C$2:$C$368,A72,Test_Cases!$L$2:$L$368,"Not_Executed")</f>
        <v>0</v>
      </c>
      <c r="J72" s="2" t="str">
        <f t="shared" si="1"/>
        <v>Not Covered</v>
      </c>
      <c r="K72" s="2">
        <f>COUNTIF(Bug_Report!$J$2:$J$55,"*"&amp;A72&amp;"*")</f>
        <v>0</v>
      </c>
    </row>
    <row r="73" spans="1:11">
      <c r="A73" s="2" t="s">
        <v>208</v>
      </c>
      <c r="B73" s="2" t="s">
        <v>178</v>
      </c>
      <c r="C73" s="2" t="s">
        <v>55</v>
      </c>
      <c r="D73" s="2" t="str">
        <f>_xlfn.TEXTJOIN(", ",TRUE,IF(Test_Cases!$C$2:$C$368=A73,Test_Cases!$A$2:$A$368,""))</f>
        <v/>
      </c>
      <c r="E73" s="2">
        <f>COUNTIF(Test_Cases!$C$2:$C$368,A73)</f>
        <v>0</v>
      </c>
      <c r="F73" s="2">
        <f>COUNTIFS(Test_Cases!$C$2:$C$368,A73,Test_Cases!$L$2:$L$368,"Passed")</f>
        <v>0</v>
      </c>
      <c r="G73" s="2">
        <f>COUNTIFS(Test_Cases!$C$2:$C$368,A73,Test_Cases!$L$2:$L$368,"Failed")</f>
        <v>0</v>
      </c>
      <c r="H73" s="2">
        <f>COUNTIFS(Test_Cases!$C$2:$C$368,A73,Test_Cases!$L$2:$L$368,"Blocked")</f>
        <v>0</v>
      </c>
      <c r="I73" s="2">
        <f>COUNTIFS(Test_Cases!$C$2:$C$368,A73,Test_Cases!$L$2:$L$368,"Not_Executed")</f>
        <v>0</v>
      </c>
      <c r="J73" s="2" t="str">
        <f t="shared" si="1"/>
        <v>Not Covered</v>
      </c>
      <c r="K73" s="2">
        <f>COUNTIF(Bug_Report!$J$2:$J$55,"*"&amp;A73&amp;"*")</f>
        <v>0</v>
      </c>
    </row>
    <row r="74" spans="1:11">
      <c r="A74" s="2" t="s">
        <v>210</v>
      </c>
      <c r="B74" s="2" t="s">
        <v>178</v>
      </c>
      <c r="C74" s="2" t="s">
        <v>55</v>
      </c>
      <c r="D74" s="2" t="str">
        <f>_xlfn.TEXTJOIN(", ",TRUE,IF(Test_Cases!$C$2:$C$368=A74,Test_Cases!$A$2:$A$368,""))</f>
        <v/>
      </c>
      <c r="E74" s="2">
        <f>COUNTIF(Test_Cases!$C$2:$C$368,A74)</f>
        <v>0</v>
      </c>
      <c r="F74" s="2">
        <f>COUNTIFS(Test_Cases!$C$2:$C$368,A74,Test_Cases!$L$2:$L$368,"Passed")</f>
        <v>0</v>
      </c>
      <c r="G74" s="2">
        <f>COUNTIFS(Test_Cases!$C$2:$C$368,A74,Test_Cases!$L$2:$L$368,"Failed")</f>
        <v>0</v>
      </c>
      <c r="H74" s="2">
        <f>COUNTIFS(Test_Cases!$C$2:$C$368,A74,Test_Cases!$L$2:$L$368,"Blocked")</f>
        <v>0</v>
      </c>
      <c r="I74" s="2">
        <f>COUNTIFS(Test_Cases!$C$2:$C$368,A74,Test_Cases!$L$2:$L$368,"Not_Executed")</f>
        <v>0</v>
      </c>
      <c r="J74" s="2" t="str">
        <f t="shared" si="1"/>
        <v>Not Covered</v>
      </c>
      <c r="K74" s="2">
        <f>COUNTIF(Bug_Report!$J$2:$J$55,"*"&amp;A74&amp;"*")</f>
        <v>0</v>
      </c>
    </row>
    <row r="75" spans="1:11">
      <c r="A75" s="2" t="s">
        <v>212</v>
      </c>
      <c r="B75" s="2" t="s">
        <v>178</v>
      </c>
      <c r="C75" s="2" t="s">
        <v>55</v>
      </c>
      <c r="D75" s="2" t="str">
        <f>_xlfn.TEXTJOIN(", ",TRUE,IF(Test_Cases!$C$2:$C$368=A75,Test_Cases!$A$2:$A$368,""))</f>
        <v/>
      </c>
      <c r="E75" s="2">
        <f>COUNTIF(Test_Cases!$C$2:$C$368,A75)</f>
        <v>0</v>
      </c>
      <c r="F75" s="2">
        <f>COUNTIFS(Test_Cases!$C$2:$C$368,A75,Test_Cases!$L$2:$L$368,"Passed")</f>
        <v>0</v>
      </c>
      <c r="G75" s="2">
        <f>COUNTIFS(Test_Cases!$C$2:$C$368,A75,Test_Cases!$L$2:$L$368,"Failed")</f>
        <v>0</v>
      </c>
      <c r="H75" s="2">
        <f>COUNTIFS(Test_Cases!$C$2:$C$368,A75,Test_Cases!$L$2:$L$368,"Blocked")</f>
        <v>0</v>
      </c>
      <c r="I75" s="2">
        <f>COUNTIFS(Test_Cases!$C$2:$C$368,A75,Test_Cases!$L$2:$L$368,"Not_Executed")</f>
        <v>0</v>
      </c>
      <c r="J75" s="2" t="str">
        <f t="shared" si="1"/>
        <v>Not Covered</v>
      </c>
      <c r="K75" s="2">
        <f>COUNTIF(Bug_Report!$J$2:$J$55,"*"&amp;A75&amp;"*")</f>
        <v>0</v>
      </c>
    </row>
    <row r="76" spans="1:11">
      <c r="A76" s="2" t="s">
        <v>214</v>
      </c>
      <c r="B76" s="2" t="s">
        <v>178</v>
      </c>
      <c r="C76" s="2" t="s">
        <v>55</v>
      </c>
      <c r="D76" s="2" t="str">
        <f>_xlfn.TEXTJOIN(", ",TRUE,IF(Test_Cases!$C$2:$C$368=A76,Test_Cases!$A$2:$A$368,""))</f>
        <v/>
      </c>
      <c r="E76" s="2">
        <f>COUNTIF(Test_Cases!$C$2:$C$368,A76)</f>
        <v>0</v>
      </c>
      <c r="F76" s="2">
        <f>COUNTIFS(Test_Cases!$C$2:$C$368,A76,Test_Cases!$L$2:$L$368,"Passed")</f>
        <v>0</v>
      </c>
      <c r="G76" s="2">
        <f>COUNTIFS(Test_Cases!$C$2:$C$368,A76,Test_Cases!$L$2:$L$368,"Failed")</f>
        <v>0</v>
      </c>
      <c r="H76" s="2">
        <f>COUNTIFS(Test_Cases!$C$2:$C$368,A76,Test_Cases!$L$2:$L$368,"Blocked")</f>
        <v>0</v>
      </c>
      <c r="I76" s="2">
        <f>COUNTIFS(Test_Cases!$C$2:$C$368,A76,Test_Cases!$L$2:$L$368,"Not_Executed")</f>
        <v>0</v>
      </c>
      <c r="J76" s="2" t="str">
        <f t="shared" si="1"/>
        <v>Not Covered</v>
      </c>
      <c r="K76" s="2">
        <f>COUNTIF(Bug_Report!$J$2:$J$55,"*"&amp;A76&amp;"*")</f>
        <v>0</v>
      </c>
    </row>
    <row r="77" spans="1:11">
      <c r="A77" s="2" t="s">
        <v>216</v>
      </c>
      <c r="B77" s="2" t="s">
        <v>178</v>
      </c>
      <c r="C77" s="2" t="s">
        <v>55</v>
      </c>
      <c r="D77" s="2" t="str">
        <f>_xlfn.TEXTJOIN(", ",TRUE,IF(Test_Cases!$C$2:$C$368=A77,Test_Cases!$A$2:$A$368,""))</f>
        <v/>
      </c>
      <c r="E77" s="2">
        <f>COUNTIF(Test_Cases!$C$2:$C$368,A77)</f>
        <v>0</v>
      </c>
      <c r="F77" s="2">
        <f>COUNTIFS(Test_Cases!$C$2:$C$368,A77,Test_Cases!$L$2:$L$368,"Passed")</f>
        <v>0</v>
      </c>
      <c r="G77" s="2">
        <f>COUNTIFS(Test_Cases!$C$2:$C$368,A77,Test_Cases!$L$2:$L$368,"Failed")</f>
        <v>0</v>
      </c>
      <c r="H77" s="2">
        <f>COUNTIFS(Test_Cases!$C$2:$C$368,A77,Test_Cases!$L$2:$L$368,"Blocked")</f>
        <v>0</v>
      </c>
      <c r="I77" s="2">
        <f>COUNTIFS(Test_Cases!$C$2:$C$368,A77,Test_Cases!$L$2:$L$368,"Not_Executed")</f>
        <v>0</v>
      </c>
      <c r="J77" s="2" t="str">
        <f t="shared" si="1"/>
        <v>Not Covered</v>
      </c>
      <c r="K77" s="2">
        <f>COUNTIF(Bug_Report!$J$2:$J$55,"*"&amp;A77&amp;"*")</f>
        <v>0</v>
      </c>
    </row>
    <row r="78" spans="1:11">
      <c r="A78" s="2" t="s">
        <v>218</v>
      </c>
      <c r="B78" s="2" t="s">
        <v>178</v>
      </c>
      <c r="C78" s="2" t="s">
        <v>55</v>
      </c>
      <c r="D78" s="2" t="str">
        <f>_xlfn.TEXTJOIN(", ",TRUE,IF(Test_Cases!$C$2:$C$368=A78,Test_Cases!$A$2:$A$368,""))</f>
        <v/>
      </c>
      <c r="E78" s="2">
        <f>COUNTIF(Test_Cases!$C$2:$C$368,A78)</f>
        <v>0</v>
      </c>
      <c r="F78" s="2">
        <f>COUNTIFS(Test_Cases!$C$2:$C$368,A78,Test_Cases!$L$2:$L$368,"Passed")</f>
        <v>0</v>
      </c>
      <c r="G78" s="2">
        <f>COUNTIFS(Test_Cases!$C$2:$C$368,A78,Test_Cases!$L$2:$L$368,"Failed")</f>
        <v>0</v>
      </c>
      <c r="H78" s="2">
        <f>COUNTIFS(Test_Cases!$C$2:$C$368,A78,Test_Cases!$L$2:$L$368,"Blocked")</f>
        <v>0</v>
      </c>
      <c r="I78" s="2">
        <f>COUNTIFS(Test_Cases!$C$2:$C$368,A78,Test_Cases!$L$2:$L$368,"Not_Executed")</f>
        <v>0</v>
      </c>
      <c r="J78" s="2" t="str">
        <f t="shared" si="1"/>
        <v>Not Covered</v>
      </c>
      <c r="K78" s="2">
        <f>COUNTIF(Bug_Report!$J$2:$J$55,"*"&amp;A78&amp;"*")</f>
        <v>0</v>
      </c>
    </row>
    <row r="79" spans="1:11">
      <c r="A79" s="2" t="s">
        <v>220</v>
      </c>
      <c r="B79" s="2" t="s">
        <v>178</v>
      </c>
      <c r="C79" s="2" t="s">
        <v>55</v>
      </c>
      <c r="D79" s="2" t="str">
        <f>_xlfn.TEXTJOIN(", ",TRUE,IF(Test_Cases!$C$2:$C$368=A79,Test_Cases!$A$2:$A$368,""))</f>
        <v/>
      </c>
      <c r="E79" s="2">
        <f>COUNTIF(Test_Cases!$C$2:$C$368,A79)</f>
        <v>0</v>
      </c>
      <c r="F79" s="2">
        <f>COUNTIFS(Test_Cases!$C$2:$C$368,A79,Test_Cases!$L$2:$L$368,"Passed")</f>
        <v>0</v>
      </c>
      <c r="G79" s="2">
        <f>COUNTIFS(Test_Cases!$C$2:$C$368,A79,Test_Cases!$L$2:$L$368,"Failed")</f>
        <v>0</v>
      </c>
      <c r="H79" s="2">
        <f>COUNTIFS(Test_Cases!$C$2:$C$368,A79,Test_Cases!$L$2:$L$368,"Blocked")</f>
        <v>0</v>
      </c>
      <c r="I79" s="2">
        <f>COUNTIFS(Test_Cases!$C$2:$C$368,A79,Test_Cases!$L$2:$L$368,"Not_Executed")</f>
        <v>0</v>
      </c>
      <c r="J79" s="2" t="str">
        <f t="shared" si="1"/>
        <v>Not Covered</v>
      </c>
      <c r="K79" s="2">
        <f>COUNTIF(Bug_Report!$J$2:$J$55,"*"&amp;A79&amp;"*")</f>
        <v>0</v>
      </c>
    </row>
    <row r="80" spans="1:11">
      <c r="A80" s="2" t="s">
        <v>222</v>
      </c>
      <c r="B80" s="2" t="s">
        <v>178</v>
      </c>
      <c r="C80" s="2" t="s">
        <v>113</v>
      </c>
      <c r="D80" s="2" t="str">
        <f>_xlfn.TEXTJOIN(", ",TRUE,IF(Test_Cases!$C$2:$C$368=A80,Test_Cases!$A$2:$A$368,""))</f>
        <v/>
      </c>
      <c r="E80" s="2">
        <f>COUNTIF(Test_Cases!$C$2:$C$368,A80)</f>
        <v>0</v>
      </c>
      <c r="F80" s="2">
        <f>COUNTIFS(Test_Cases!$C$2:$C$368,A80,Test_Cases!$L$2:$L$368,"Passed")</f>
        <v>0</v>
      </c>
      <c r="G80" s="2">
        <f>COUNTIFS(Test_Cases!$C$2:$C$368,A80,Test_Cases!$L$2:$L$368,"Failed")</f>
        <v>0</v>
      </c>
      <c r="H80" s="2">
        <f>COUNTIFS(Test_Cases!$C$2:$C$368,A80,Test_Cases!$L$2:$L$368,"Blocked")</f>
        <v>0</v>
      </c>
      <c r="I80" s="2">
        <f>COUNTIFS(Test_Cases!$C$2:$C$368,A80,Test_Cases!$L$2:$L$368,"Not_Executed")</f>
        <v>0</v>
      </c>
      <c r="J80" s="2" t="str">
        <f t="shared" si="1"/>
        <v>Not Covered</v>
      </c>
      <c r="K80" s="2">
        <f>COUNTIF(Bug_Report!$J$2:$J$55,"*"&amp;A80&amp;"*")</f>
        <v>0</v>
      </c>
    </row>
    <row r="81" spans="1:11">
      <c r="A81" s="2" t="s">
        <v>224</v>
      </c>
      <c r="B81" s="2" t="s">
        <v>178</v>
      </c>
      <c r="C81" s="2" t="s">
        <v>55</v>
      </c>
      <c r="D81" s="2" t="str">
        <f>_xlfn.TEXTJOIN(", ",TRUE,IF(Test_Cases!$C$2:$C$368=A81,Test_Cases!$A$2:$A$368,""))</f>
        <v/>
      </c>
      <c r="E81" s="2">
        <f>COUNTIF(Test_Cases!$C$2:$C$368,A81)</f>
        <v>0</v>
      </c>
      <c r="F81" s="2">
        <f>COUNTIFS(Test_Cases!$C$2:$C$368,A81,Test_Cases!$L$2:$L$368,"Passed")</f>
        <v>0</v>
      </c>
      <c r="G81" s="2">
        <f>COUNTIFS(Test_Cases!$C$2:$C$368,A81,Test_Cases!$L$2:$L$368,"Failed")</f>
        <v>0</v>
      </c>
      <c r="H81" s="2">
        <f>COUNTIFS(Test_Cases!$C$2:$C$368,A81,Test_Cases!$L$2:$L$368,"Blocked")</f>
        <v>0</v>
      </c>
      <c r="I81" s="2">
        <f>COUNTIFS(Test_Cases!$C$2:$C$368,A81,Test_Cases!$L$2:$L$368,"Not_Executed")</f>
        <v>0</v>
      </c>
      <c r="J81" s="2" t="str">
        <f t="shared" si="1"/>
        <v>Not Covered</v>
      </c>
      <c r="K81" s="2">
        <f>COUNTIF(Bug_Report!$J$2:$J$55,"*"&amp;A81&amp;"*")</f>
        <v>0</v>
      </c>
    </row>
    <row r="82" spans="1:11">
      <c r="A82" s="2" t="s">
        <v>226</v>
      </c>
      <c r="B82" s="2" t="s">
        <v>178</v>
      </c>
      <c r="C82" s="2" t="s">
        <v>55</v>
      </c>
      <c r="D82" s="2" t="str">
        <f>_xlfn.TEXTJOIN(", ",TRUE,IF(Test_Cases!$C$2:$C$368=A82,Test_Cases!$A$2:$A$368,""))</f>
        <v/>
      </c>
      <c r="E82" s="2">
        <f>COUNTIF(Test_Cases!$C$2:$C$368,A82)</f>
        <v>0</v>
      </c>
      <c r="F82" s="2">
        <f>COUNTIFS(Test_Cases!$C$2:$C$368,A82,Test_Cases!$L$2:$L$368,"Passed")</f>
        <v>0</v>
      </c>
      <c r="G82" s="2">
        <f>COUNTIFS(Test_Cases!$C$2:$C$368,A82,Test_Cases!$L$2:$L$368,"Failed")</f>
        <v>0</v>
      </c>
      <c r="H82" s="2">
        <f>COUNTIFS(Test_Cases!$C$2:$C$368,A82,Test_Cases!$L$2:$L$368,"Blocked")</f>
        <v>0</v>
      </c>
      <c r="I82" s="2">
        <f>COUNTIFS(Test_Cases!$C$2:$C$368,A82,Test_Cases!$L$2:$L$368,"Not_Executed")</f>
        <v>0</v>
      </c>
      <c r="J82" s="2" t="str">
        <f t="shared" si="1"/>
        <v>Not Covered</v>
      </c>
      <c r="K82" s="2">
        <f>COUNTIF(Bug_Report!$J$2:$J$55,"*"&amp;A82&amp;"*")</f>
        <v>0</v>
      </c>
    </row>
    <row r="83" spans="1:11">
      <c r="A83" s="2" t="s">
        <v>228</v>
      </c>
      <c r="B83" s="2" t="s">
        <v>230</v>
      </c>
      <c r="C83" s="2" t="s">
        <v>55</v>
      </c>
      <c r="D83" s="2" t="str">
        <f>_xlfn.TEXTJOIN(", ",TRUE,IF(Test_Cases!$C$2:$C$368=A83,Test_Cases!$A$2:$A$368,""))</f>
        <v/>
      </c>
      <c r="E83" s="2">
        <f>COUNTIF(Test_Cases!$C$2:$C$368,A83)</f>
        <v>0</v>
      </c>
      <c r="F83" s="2">
        <f>COUNTIFS(Test_Cases!$C$2:$C$368,A83,Test_Cases!$L$2:$L$368,"Passed")</f>
        <v>0</v>
      </c>
      <c r="G83" s="2">
        <f>COUNTIFS(Test_Cases!$C$2:$C$368,A83,Test_Cases!$L$2:$L$368,"Failed")</f>
        <v>0</v>
      </c>
      <c r="H83" s="2">
        <f>COUNTIFS(Test_Cases!$C$2:$C$368,A83,Test_Cases!$L$2:$L$368,"Blocked")</f>
        <v>0</v>
      </c>
      <c r="I83" s="2">
        <f>COUNTIFS(Test_Cases!$C$2:$C$368,A83,Test_Cases!$L$2:$L$368,"Not_Executed")</f>
        <v>0</v>
      </c>
      <c r="J83" s="2" t="str">
        <f t="shared" si="1"/>
        <v>Not Covered</v>
      </c>
      <c r="K83" s="2">
        <f>COUNTIF(Bug_Report!$J$2:$J$55,"*"&amp;A83&amp;"*")</f>
        <v>0</v>
      </c>
    </row>
    <row r="84" spans="1:11">
      <c r="A84" s="2" t="s">
        <v>231</v>
      </c>
      <c r="B84" s="2" t="s">
        <v>230</v>
      </c>
      <c r="C84" s="2" t="s">
        <v>55</v>
      </c>
      <c r="D84" s="2" t="str">
        <f>_xlfn.TEXTJOIN(", ",TRUE,IF(Test_Cases!$C$2:$C$368=A84,Test_Cases!$A$2:$A$368,""))</f>
        <v/>
      </c>
      <c r="E84" s="2">
        <f>COUNTIF(Test_Cases!$C$2:$C$368,A84)</f>
        <v>0</v>
      </c>
      <c r="F84" s="2">
        <f>COUNTIFS(Test_Cases!$C$2:$C$368,A84,Test_Cases!$L$2:$L$368,"Passed")</f>
        <v>0</v>
      </c>
      <c r="G84" s="2">
        <f>COUNTIFS(Test_Cases!$C$2:$C$368,A84,Test_Cases!$L$2:$L$368,"Failed")</f>
        <v>0</v>
      </c>
      <c r="H84" s="2">
        <f>COUNTIFS(Test_Cases!$C$2:$C$368,A84,Test_Cases!$L$2:$L$368,"Blocked")</f>
        <v>0</v>
      </c>
      <c r="I84" s="2">
        <f>COUNTIFS(Test_Cases!$C$2:$C$368,A84,Test_Cases!$L$2:$L$368,"Not_Executed")</f>
        <v>0</v>
      </c>
      <c r="J84" s="2" t="str">
        <f t="shared" si="1"/>
        <v>Not Covered</v>
      </c>
      <c r="K84" s="2">
        <f>COUNTIF(Bug_Report!$J$2:$J$55,"*"&amp;A84&amp;"*")</f>
        <v>0</v>
      </c>
    </row>
    <row r="85" spans="1:11">
      <c r="A85" s="2" t="s">
        <v>233</v>
      </c>
      <c r="B85" s="2" t="s">
        <v>230</v>
      </c>
      <c r="C85" s="2" t="s">
        <v>55</v>
      </c>
      <c r="D85" s="2" t="str">
        <f>_xlfn.TEXTJOIN(", ",TRUE,IF(Test_Cases!$C$2:$C$368=A85,Test_Cases!$A$2:$A$368,""))</f>
        <v/>
      </c>
      <c r="E85" s="2">
        <f>COUNTIF(Test_Cases!$C$2:$C$368,A85)</f>
        <v>0</v>
      </c>
      <c r="F85" s="2">
        <f>COUNTIFS(Test_Cases!$C$2:$C$368,A85,Test_Cases!$L$2:$L$368,"Passed")</f>
        <v>0</v>
      </c>
      <c r="G85" s="2">
        <f>COUNTIFS(Test_Cases!$C$2:$C$368,A85,Test_Cases!$L$2:$L$368,"Failed")</f>
        <v>0</v>
      </c>
      <c r="H85" s="2">
        <f>COUNTIFS(Test_Cases!$C$2:$C$368,A85,Test_Cases!$L$2:$L$368,"Blocked")</f>
        <v>0</v>
      </c>
      <c r="I85" s="2">
        <f>COUNTIFS(Test_Cases!$C$2:$C$368,A85,Test_Cases!$L$2:$L$368,"Not_Executed")</f>
        <v>0</v>
      </c>
      <c r="J85" s="2" t="str">
        <f t="shared" si="1"/>
        <v>Not Covered</v>
      </c>
      <c r="K85" s="2">
        <f>COUNTIF(Bug_Report!$J$2:$J$55,"*"&amp;A85&amp;"*")</f>
        <v>0</v>
      </c>
    </row>
    <row r="86" spans="1:11">
      <c r="A86" s="2" t="s">
        <v>235</v>
      </c>
      <c r="B86" s="2" t="s">
        <v>230</v>
      </c>
      <c r="C86" s="2" t="s">
        <v>55</v>
      </c>
      <c r="D86" s="2" t="str">
        <f>_xlfn.TEXTJOIN(", ",TRUE,IF(Test_Cases!$C$2:$C$368=A86,Test_Cases!$A$2:$A$368,""))</f>
        <v/>
      </c>
      <c r="E86" s="2">
        <f>COUNTIF(Test_Cases!$C$2:$C$368,A86)</f>
        <v>0</v>
      </c>
      <c r="F86" s="2">
        <f>COUNTIFS(Test_Cases!$C$2:$C$368,A86,Test_Cases!$L$2:$L$368,"Passed")</f>
        <v>0</v>
      </c>
      <c r="G86" s="2">
        <f>COUNTIFS(Test_Cases!$C$2:$C$368,A86,Test_Cases!$L$2:$L$368,"Failed")</f>
        <v>0</v>
      </c>
      <c r="H86" s="2">
        <f>COUNTIFS(Test_Cases!$C$2:$C$368,A86,Test_Cases!$L$2:$L$368,"Blocked")</f>
        <v>0</v>
      </c>
      <c r="I86" s="2">
        <f>COUNTIFS(Test_Cases!$C$2:$C$368,A86,Test_Cases!$L$2:$L$368,"Not_Executed")</f>
        <v>0</v>
      </c>
      <c r="J86" s="2" t="str">
        <f t="shared" si="1"/>
        <v>Not Covered</v>
      </c>
      <c r="K86" s="2">
        <f>COUNTIF(Bug_Report!$J$2:$J$55,"*"&amp;A86&amp;"*")</f>
        <v>0</v>
      </c>
    </row>
    <row r="87" spans="1:11">
      <c r="A87" s="2" t="s">
        <v>237</v>
      </c>
      <c r="B87" s="2" t="s">
        <v>230</v>
      </c>
      <c r="C87" s="2" t="s">
        <v>113</v>
      </c>
      <c r="D87" s="2" t="str">
        <f>_xlfn.TEXTJOIN(", ",TRUE,IF(Test_Cases!$C$2:$C$368=A87,Test_Cases!$A$2:$A$368,""))</f>
        <v/>
      </c>
      <c r="E87" s="2">
        <f>COUNTIF(Test_Cases!$C$2:$C$368,A87)</f>
        <v>0</v>
      </c>
      <c r="F87" s="2">
        <f>COUNTIFS(Test_Cases!$C$2:$C$368,A87,Test_Cases!$L$2:$L$368,"Passed")</f>
        <v>0</v>
      </c>
      <c r="G87" s="2">
        <f>COUNTIFS(Test_Cases!$C$2:$C$368,A87,Test_Cases!$L$2:$L$368,"Failed")</f>
        <v>0</v>
      </c>
      <c r="H87" s="2">
        <f>COUNTIFS(Test_Cases!$C$2:$C$368,A87,Test_Cases!$L$2:$L$368,"Blocked")</f>
        <v>0</v>
      </c>
      <c r="I87" s="2">
        <f>COUNTIFS(Test_Cases!$C$2:$C$368,A87,Test_Cases!$L$2:$L$368,"Not_Executed")</f>
        <v>0</v>
      </c>
      <c r="J87" s="2" t="str">
        <f t="shared" si="1"/>
        <v>Not Covered</v>
      </c>
      <c r="K87" s="2">
        <f>COUNTIF(Bug_Report!$J$2:$J$55,"*"&amp;A87&amp;"*")</f>
        <v>0</v>
      </c>
    </row>
    <row r="88" spans="1:11">
      <c r="A88" s="2" t="s">
        <v>239</v>
      </c>
      <c r="B88" s="2" t="s">
        <v>230</v>
      </c>
      <c r="C88" s="2" t="s">
        <v>241</v>
      </c>
      <c r="D88" s="2" t="str">
        <f>_xlfn.TEXTJOIN(", ",TRUE,IF(Test_Cases!$C$2:$C$368=A88,Test_Cases!$A$2:$A$368,""))</f>
        <v/>
      </c>
      <c r="E88" s="2">
        <f>COUNTIF(Test_Cases!$C$2:$C$368,A88)</f>
        <v>0</v>
      </c>
      <c r="F88" s="2">
        <f>COUNTIFS(Test_Cases!$C$2:$C$368,A88,Test_Cases!$L$2:$L$368,"Passed")</f>
        <v>0</v>
      </c>
      <c r="G88" s="2">
        <f>COUNTIFS(Test_Cases!$C$2:$C$368,A88,Test_Cases!$L$2:$L$368,"Failed")</f>
        <v>0</v>
      </c>
      <c r="H88" s="2">
        <f>COUNTIFS(Test_Cases!$C$2:$C$368,A88,Test_Cases!$L$2:$L$368,"Blocked")</f>
        <v>0</v>
      </c>
      <c r="I88" s="2">
        <f>COUNTIFS(Test_Cases!$C$2:$C$368,A88,Test_Cases!$L$2:$L$368,"Not_Executed")</f>
        <v>0</v>
      </c>
      <c r="J88" s="2" t="str">
        <f t="shared" si="1"/>
        <v>Not Covered</v>
      </c>
      <c r="K88" s="2">
        <f>COUNTIF(Bug_Report!$J$2:$J$55,"*"&amp;A88&amp;"*")</f>
        <v>0</v>
      </c>
    </row>
    <row r="89" spans="1:11">
      <c r="A89" s="2" t="s">
        <v>242</v>
      </c>
      <c r="B89" s="2" t="s">
        <v>244</v>
      </c>
      <c r="C89" s="2" t="s">
        <v>55</v>
      </c>
      <c r="D89" s="2" t="str">
        <f>_xlfn.TEXTJOIN(", ",TRUE,IF(Test_Cases!$C$2:$C$368=A89,Test_Cases!$A$2:$A$368,""))</f>
        <v/>
      </c>
      <c r="E89" s="2">
        <f>COUNTIF(Test_Cases!$C$2:$C$368,A89)</f>
        <v>0</v>
      </c>
      <c r="F89" s="2">
        <f>COUNTIFS(Test_Cases!$C$2:$C$368,A89,Test_Cases!$L$2:$L$368,"Passed")</f>
        <v>0</v>
      </c>
      <c r="G89" s="2">
        <f>COUNTIFS(Test_Cases!$C$2:$C$368,A89,Test_Cases!$L$2:$L$368,"Failed")</f>
        <v>0</v>
      </c>
      <c r="H89" s="2">
        <f>COUNTIFS(Test_Cases!$C$2:$C$368,A89,Test_Cases!$L$2:$L$368,"Blocked")</f>
        <v>0</v>
      </c>
      <c r="I89" s="2">
        <f>COUNTIFS(Test_Cases!$C$2:$C$368,A89,Test_Cases!$L$2:$L$368,"Not_Executed")</f>
        <v>0</v>
      </c>
      <c r="J89" s="2" t="str">
        <f t="shared" si="1"/>
        <v>Not Covered</v>
      </c>
      <c r="K89" s="2">
        <f>COUNTIF(Bug_Report!$J$2:$J$55,"*"&amp;A89&amp;"*")</f>
        <v>0</v>
      </c>
    </row>
    <row r="90" spans="1:11">
      <c r="A90" s="2" t="s">
        <v>245</v>
      </c>
      <c r="B90" s="2" t="s">
        <v>244</v>
      </c>
      <c r="C90" s="2" t="s">
        <v>55</v>
      </c>
      <c r="D90" s="2" t="str">
        <f>_xlfn.TEXTJOIN(", ",TRUE,IF(Test_Cases!$C$2:$C$368=A90,Test_Cases!$A$2:$A$368,""))</f>
        <v/>
      </c>
      <c r="E90" s="2">
        <f>COUNTIF(Test_Cases!$C$2:$C$368,A90)</f>
        <v>0</v>
      </c>
      <c r="F90" s="2">
        <f>COUNTIFS(Test_Cases!$C$2:$C$368,A90,Test_Cases!$L$2:$L$368,"Passed")</f>
        <v>0</v>
      </c>
      <c r="G90" s="2">
        <f>COUNTIFS(Test_Cases!$C$2:$C$368,A90,Test_Cases!$L$2:$L$368,"Failed")</f>
        <v>0</v>
      </c>
      <c r="H90" s="2">
        <f>COUNTIFS(Test_Cases!$C$2:$C$368,A90,Test_Cases!$L$2:$L$368,"Blocked")</f>
        <v>0</v>
      </c>
      <c r="I90" s="2">
        <f>COUNTIFS(Test_Cases!$C$2:$C$368,A90,Test_Cases!$L$2:$L$368,"Not_Executed")</f>
        <v>0</v>
      </c>
      <c r="J90" s="2" t="str">
        <f t="shared" si="1"/>
        <v>Not Covered</v>
      </c>
      <c r="K90" s="2">
        <f>COUNTIF(Bug_Report!$J$2:$J$55,"*"&amp;A90&amp;"*")</f>
        <v>0</v>
      </c>
    </row>
    <row r="91" spans="1:11">
      <c r="A91" s="2" t="s">
        <v>247</v>
      </c>
      <c r="B91" s="2" t="s">
        <v>244</v>
      </c>
      <c r="C91" s="2" t="s">
        <v>113</v>
      </c>
      <c r="D91" s="2" t="str">
        <f>_xlfn.TEXTJOIN(", ",TRUE,IF(Test_Cases!$C$2:$C$368=A91,Test_Cases!$A$2:$A$368,""))</f>
        <v/>
      </c>
      <c r="E91" s="2">
        <f>COUNTIF(Test_Cases!$C$2:$C$368,A91)</f>
        <v>0</v>
      </c>
      <c r="F91" s="2">
        <f>COUNTIFS(Test_Cases!$C$2:$C$368,A91,Test_Cases!$L$2:$L$368,"Passed")</f>
        <v>0</v>
      </c>
      <c r="G91" s="2">
        <f>COUNTIFS(Test_Cases!$C$2:$C$368,A91,Test_Cases!$L$2:$L$368,"Failed")</f>
        <v>0</v>
      </c>
      <c r="H91" s="2">
        <f>COUNTIFS(Test_Cases!$C$2:$C$368,A91,Test_Cases!$L$2:$L$368,"Blocked")</f>
        <v>0</v>
      </c>
      <c r="I91" s="2">
        <f>COUNTIFS(Test_Cases!$C$2:$C$368,A91,Test_Cases!$L$2:$L$368,"Not_Executed")</f>
        <v>0</v>
      </c>
      <c r="J91" s="2" t="str">
        <f t="shared" si="1"/>
        <v>Not Covered</v>
      </c>
      <c r="K91" s="2">
        <f>COUNTIF(Bug_Report!$J$2:$J$55,"*"&amp;A91&amp;"*")</f>
        <v>0</v>
      </c>
    </row>
    <row r="92" spans="1:11">
      <c r="A92" s="2" t="s">
        <v>249</v>
      </c>
      <c r="B92" s="2" t="s">
        <v>244</v>
      </c>
      <c r="C92" s="2" t="s">
        <v>55</v>
      </c>
      <c r="D92" s="2" t="str">
        <f>_xlfn.TEXTJOIN(", ",TRUE,IF(Test_Cases!$C$2:$C$368=A92,Test_Cases!$A$2:$A$368,""))</f>
        <v/>
      </c>
      <c r="E92" s="2">
        <f>COUNTIF(Test_Cases!$C$2:$C$368,A92)</f>
        <v>0</v>
      </c>
      <c r="F92" s="2">
        <f>COUNTIFS(Test_Cases!$C$2:$C$368,A92,Test_Cases!$L$2:$L$368,"Passed")</f>
        <v>0</v>
      </c>
      <c r="G92" s="2">
        <f>COUNTIFS(Test_Cases!$C$2:$C$368,A92,Test_Cases!$L$2:$L$368,"Failed")</f>
        <v>0</v>
      </c>
      <c r="H92" s="2">
        <f>COUNTIFS(Test_Cases!$C$2:$C$368,A92,Test_Cases!$L$2:$L$368,"Blocked")</f>
        <v>0</v>
      </c>
      <c r="I92" s="2">
        <f>COUNTIFS(Test_Cases!$C$2:$C$368,A92,Test_Cases!$L$2:$L$368,"Not_Executed")</f>
        <v>0</v>
      </c>
      <c r="J92" s="2" t="str">
        <f t="shared" si="1"/>
        <v>Not Covered</v>
      </c>
      <c r="K92" s="2">
        <f>COUNTIF(Bug_Report!$J$2:$J$55,"*"&amp;A92&amp;"*")</f>
        <v>0</v>
      </c>
    </row>
    <row r="93" spans="1:11">
      <c r="A93" s="2" t="s">
        <v>251</v>
      </c>
      <c r="B93" s="2" t="s">
        <v>244</v>
      </c>
      <c r="C93" s="2" t="s">
        <v>113</v>
      </c>
      <c r="D93" s="2" t="str">
        <f>_xlfn.TEXTJOIN(", ",TRUE,IF(Test_Cases!$C$2:$C$368=A93,Test_Cases!$A$2:$A$368,""))</f>
        <v/>
      </c>
      <c r="E93" s="2">
        <f>COUNTIF(Test_Cases!$C$2:$C$368,A93)</f>
        <v>0</v>
      </c>
      <c r="F93" s="2">
        <f>COUNTIFS(Test_Cases!$C$2:$C$368,A93,Test_Cases!$L$2:$L$368,"Passed")</f>
        <v>0</v>
      </c>
      <c r="G93" s="2">
        <f>COUNTIFS(Test_Cases!$C$2:$C$368,A93,Test_Cases!$L$2:$L$368,"Failed")</f>
        <v>0</v>
      </c>
      <c r="H93" s="2">
        <f>COUNTIFS(Test_Cases!$C$2:$C$368,A93,Test_Cases!$L$2:$L$368,"Blocked")</f>
        <v>0</v>
      </c>
      <c r="I93" s="2">
        <f>COUNTIFS(Test_Cases!$C$2:$C$368,A93,Test_Cases!$L$2:$L$368,"Not_Executed")</f>
        <v>0</v>
      </c>
      <c r="J93" s="2" t="str">
        <f t="shared" si="1"/>
        <v>Not Covered</v>
      </c>
      <c r="K93" s="2">
        <f>COUNTIF(Bug_Report!$J$2:$J$55,"*"&amp;A93&amp;"*")</f>
        <v>0</v>
      </c>
    </row>
    <row r="94" spans="1:11">
      <c r="A94" s="2" t="s">
        <v>253</v>
      </c>
      <c r="B94" s="2" t="s">
        <v>244</v>
      </c>
      <c r="C94" s="2" t="s">
        <v>55</v>
      </c>
      <c r="D94" s="2" t="str">
        <f>_xlfn.TEXTJOIN(", ",TRUE,IF(Test_Cases!$C$2:$C$368=A94,Test_Cases!$A$2:$A$368,""))</f>
        <v/>
      </c>
      <c r="E94" s="2">
        <f>COUNTIF(Test_Cases!$C$2:$C$368,A94)</f>
        <v>0</v>
      </c>
      <c r="F94" s="2">
        <f>COUNTIFS(Test_Cases!$C$2:$C$368,A94,Test_Cases!$L$2:$L$368,"Passed")</f>
        <v>0</v>
      </c>
      <c r="G94" s="2">
        <f>COUNTIFS(Test_Cases!$C$2:$C$368,A94,Test_Cases!$L$2:$L$368,"Failed")</f>
        <v>0</v>
      </c>
      <c r="H94" s="2">
        <f>COUNTIFS(Test_Cases!$C$2:$C$368,A94,Test_Cases!$L$2:$L$368,"Blocked")</f>
        <v>0</v>
      </c>
      <c r="I94" s="2">
        <f>COUNTIFS(Test_Cases!$C$2:$C$368,A94,Test_Cases!$L$2:$L$368,"Not_Executed")</f>
        <v>0</v>
      </c>
      <c r="J94" s="2" t="str">
        <f t="shared" si="1"/>
        <v>Not Covered</v>
      </c>
      <c r="K94" s="2">
        <f>COUNTIF(Bug_Report!$J$2:$J$55,"*"&amp;A94&amp;"*")</f>
        <v>0</v>
      </c>
    </row>
    <row r="95" spans="1:11">
      <c r="A95" s="2" t="s">
        <v>255</v>
      </c>
      <c r="B95" s="2" t="s">
        <v>244</v>
      </c>
      <c r="C95" s="2" t="s">
        <v>55</v>
      </c>
      <c r="D95" s="2" t="str">
        <f>_xlfn.TEXTJOIN(", ",TRUE,IF(Test_Cases!$C$2:$C$368=A95,Test_Cases!$A$2:$A$368,""))</f>
        <v/>
      </c>
      <c r="E95" s="2">
        <f>COUNTIF(Test_Cases!$C$2:$C$368,A95)</f>
        <v>0</v>
      </c>
      <c r="F95" s="2">
        <f>COUNTIFS(Test_Cases!$C$2:$C$368,A95,Test_Cases!$L$2:$L$368,"Passed")</f>
        <v>0</v>
      </c>
      <c r="G95" s="2">
        <f>COUNTIFS(Test_Cases!$C$2:$C$368,A95,Test_Cases!$L$2:$L$368,"Failed")</f>
        <v>0</v>
      </c>
      <c r="H95" s="2">
        <f>COUNTIFS(Test_Cases!$C$2:$C$368,A95,Test_Cases!$L$2:$L$368,"Blocked")</f>
        <v>0</v>
      </c>
      <c r="I95" s="2">
        <f>COUNTIFS(Test_Cases!$C$2:$C$368,A95,Test_Cases!$L$2:$L$368,"Not_Executed")</f>
        <v>0</v>
      </c>
      <c r="J95" s="2" t="str">
        <f t="shared" si="1"/>
        <v>Not Covered</v>
      </c>
      <c r="K95" s="2">
        <f>COUNTIF(Bug_Report!$J$2:$J$55,"*"&amp;A95&amp;"*")</f>
        <v>0</v>
      </c>
    </row>
    <row r="96" spans="1:11">
      <c r="A96" s="2" t="s">
        <v>257</v>
      </c>
      <c r="B96" s="2" t="s">
        <v>259</v>
      </c>
      <c r="C96" s="2" t="s">
        <v>55</v>
      </c>
      <c r="D96" s="2" t="str">
        <f>_xlfn.TEXTJOIN(", ",TRUE,IF(Test_Cases!$C$2:$C$368=A96,Test_Cases!$A$2:$A$368,""))</f>
        <v/>
      </c>
      <c r="E96" s="2">
        <f>COUNTIF(Test_Cases!$C$2:$C$368,A96)</f>
        <v>5</v>
      </c>
      <c r="F96" s="2">
        <f>COUNTIFS(Test_Cases!$C$2:$C$368,A96,Test_Cases!$L$2:$L$368,"Passed")</f>
        <v>3</v>
      </c>
      <c r="G96" s="2">
        <f>COUNTIFS(Test_Cases!$C$2:$C$368,A96,Test_Cases!$L$2:$L$368,"Failed")</f>
        <v>2</v>
      </c>
      <c r="H96" s="2">
        <f>COUNTIFS(Test_Cases!$C$2:$C$368,A96,Test_Cases!$L$2:$L$368,"Blocked")</f>
        <v>0</v>
      </c>
      <c r="I96" s="2">
        <f>COUNTIFS(Test_Cases!$C$2:$C$368,A96,Test_Cases!$L$2:$L$368,"Not_Executed")</f>
        <v>0</v>
      </c>
      <c r="J96" s="2" t="str">
        <f t="shared" si="1"/>
        <v>Failing</v>
      </c>
      <c r="K96" s="2">
        <f>COUNTIF(Bug_Report!$J$2:$J$55,"*"&amp;A96&amp;"*")</f>
        <v>2</v>
      </c>
    </row>
    <row r="97" spans="1:11">
      <c r="A97" s="2" t="s">
        <v>260</v>
      </c>
      <c r="B97" s="2" t="s">
        <v>259</v>
      </c>
      <c r="C97" s="2" t="s">
        <v>55</v>
      </c>
      <c r="D97" s="2" t="str">
        <f>_xlfn.TEXTJOIN(", ",TRUE,IF(Test_Cases!$C$2:$C$368=A97,Test_Cases!$A$2:$A$368,""))</f>
        <v/>
      </c>
      <c r="E97" s="2">
        <f>COUNTIF(Test_Cases!$C$2:$C$368,A97)</f>
        <v>4</v>
      </c>
      <c r="F97" s="2">
        <f>COUNTIFS(Test_Cases!$C$2:$C$368,A97,Test_Cases!$L$2:$L$368,"Passed")</f>
        <v>3</v>
      </c>
      <c r="G97" s="2">
        <f>COUNTIFS(Test_Cases!$C$2:$C$368,A97,Test_Cases!$L$2:$L$368,"Failed")</f>
        <v>0</v>
      </c>
      <c r="H97" s="2">
        <f>COUNTIFS(Test_Cases!$C$2:$C$368,A97,Test_Cases!$L$2:$L$368,"Blocked")</f>
        <v>0</v>
      </c>
      <c r="I97" s="2">
        <f>COUNTIFS(Test_Cases!$C$2:$C$368,A97,Test_Cases!$L$2:$L$368,"Not_Executed")</f>
        <v>1</v>
      </c>
      <c r="J97" s="2" t="str">
        <f t="shared" si="1"/>
        <v>Partial</v>
      </c>
      <c r="K97" s="2">
        <f>COUNTIF(Bug_Report!$J$2:$J$55,"*"&amp;A97&amp;"*")</f>
        <v>0</v>
      </c>
    </row>
    <row r="98" spans="1:11">
      <c r="A98" s="2" t="s">
        <v>262</v>
      </c>
      <c r="B98" s="2" t="s">
        <v>259</v>
      </c>
      <c r="C98" s="2" t="s">
        <v>55</v>
      </c>
      <c r="D98" s="2" t="str">
        <f>_xlfn.TEXTJOIN(", ",TRUE,IF(Test_Cases!$C$2:$C$368=A98,Test_Cases!$A$2:$A$368,""))</f>
        <v/>
      </c>
      <c r="E98" s="2">
        <f>COUNTIF(Test_Cases!$C$2:$C$368,A98)</f>
        <v>1</v>
      </c>
      <c r="F98" s="2">
        <f>COUNTIFS(Test_Cases!$C$2:$C$368,A98,Test_Cases!$L$2:$L$368,"Passed")</f>
        <v>0</v>
      </c>
      <c r="G98" s="2">
        <f>COUNTIFS(Test_Cases!$C$2:$C$368,A98,Test_Cases!$L$2:$L$368,"Failed")</f>
        <v>1</v>
      </c>
      <c r="H98" s="2">
        <f>COUNTIFS(Test_Cases!$C$2:$C$368,A98,Test_Cases!$L$2:$L$368,"Blocked")</f>
        <v>0</v>
      </c>
      <c r="I98" s="2">
        <f>COUNTIFS(Test_Cases!$C$2:$C$368,A98,Test_Cases!$L$2:$L$368,"Not_Executed")</f>
        <v>0</v>
      </c>
      <c r="J98" s="2" t="str">
        <f t="shared" si="1"/>
        <v>Failing</v>
      </c>
      <c r="K98" s="2">
        <f>COUNTIF(Bug_Report!$J$2:$J$55,"*"&amp;A98&amp;"*")</f>
        <v>1</v>
      </c>
    </row>
    <row r="99" spans="1:11">
      <c r="A99" s="2" t="s">
        <v>264</v>
      </c>
      <c r="B99" s="2" t="s">
        <v>259</v>
      </c>
      <c r="C99" s="2" t="s">
        <v>55</v>
      </c>
      <c r="D99" s="2" t="str">
        <f>_xlfn.TEXTJOIN(", ",TRUE,IF(Test_Cases!$C$2:$C$368=A99,Test_Cases!$A$2:$A$368,""))</f>
        <v/>
      </c>
      <c r="E99" s="2">
        <f>COUNTIF(Test_Cases!$C$2:$C$368,A99)</f>
        <v>3</v>
      </c>
      <c r="F99" s="2">
        <f>COUNTIFS(Test_Cases!$C$2:$C$368,A99,Test_Cases!$L$2:$L$368,"Passed")</f>
        <v>2</v>
      </c>
      <c r="G99" s="2">
        <f>COUNTIFS(Test_Cases!$C$2:$C$368,A99,Test_Cases!$L$2:$L$368,"Failed")</f>
        <v>1</v>
      </c>
      <c r="H99" s="2">
        <f>COUNTIFS(Test_Cases!$C$2:$C$368,A99,Test_Cases!$L$2:$L$368,"Blocked")</f>
        <v>0</v>
      </c>
      <c r="I99" s="2">
        <f>COUNTIFS(Test_Cases!$C$2:$C$368,A99,Test_Cases!$L$2:$L$368,"Not_Executed")</f>
        <v>0</v>
      </c>
      <c r="J99" s="2" t="str">
        <f t="shared" si="1"/>
        <v>Failing</v>
      </c>
      <c r="K99" s="2">
        <f>COUNTIF(Bug_Report!$J$2:$J$55,"*"&amp;A99&amp;"*")</f>
        <v>1</v>
      </c>
    </row>
    <row r="100" spans="1:11">
      <c r="A100" s="2" t="s">
        <v>266</v>
      </c>
      <c r="B100" s="2" t="s">
        <v>259</v>
      </c>
      <c r="C100" s="2" t="s">
        <v>55</v>
      </c>
      <c r="D100" s="2" t="str">
        <f>_xlfn.TEXTJOIN(", ",TRUE,IF(Test_Cases!$C$2:$C$368=A100,Test_Cases!$A$2:$A$368,""))</f>
        <v/>
      </c>
      <c r="E100" s="2">
        <f>COUNTIF(Test_Cases!$C$2:$C$368,A100)</f>
        <v>4</v>
      </c>
      <c r="F100" s="2">
        <f>COUNTIFS(Test_Cases!$C$2:$C$368,A100,Test_Cases!$L$2:$L$368,"Passed")</f>
        <v>1</v>
      </c>
      <c r="G100" s="2">
        <f>COUNTIFS(Test_Cases!$C$2:$C$368,A100,Test_Cases!$L$2:$L$368,"Failed")</f>
        <v>0</v>
      </c>
      <c r="H100" s="2">
        <f>COUNTIFS(Test_Cases!$C$2:$C$368,A100,Test_Cases!$L$2:$L$368,"Blocked")</f>
        <v>0</v>
      </c>
      <c r="I100" s="2">
        <f>COUNTIFS(Test_Cases!$C$2:$C$368,A100,Test_Cases!$L$2:$L$368,"Not_Executed")</f>
        <v>3</v>
      </c>
      <c r="J100" s="2" t="str">
        <f t="shared" si="1"/>
        <v>Partial</v>
      </c>
      <c r="K100" s="2">
        <f>COUNTIF(Bug_Report!$J$2:$J$55,"*"&amp;A100&amp;"*")</f>
        <v>0</v>
      </c>
    </row>
    <row r="101" spans="1:11">
      <c r="A101" s="2" t="s">
        <v>268</v>
      </c>
      <c r="B101" s="2" t="s">
        <v>259</v>
      </c>
      <c r="C101" s="2" t="s">
        <v>55</v>
      </c>
      <c r="D101" s="2" t="str">
        <f>_xlfn.TEXTJOIN(", ",TRUE,IF(Test_Cases!$C$2:$C$368=A101,Test_Cases!$A$2:$A$368,""))</f>
        <v/>
      </c>
      <c r="E101" s="2">
        <f>COUNTIF(Test_Cases!$C$2:$C$368,A101)</f>
        <v>0</v>
      </c>
      <c r="F101" s="2">
        <f>COUNTIFS(Test_Cases!$C$2:$C$368,A101,Test_Cases!$L$2:$L$368,"Passed")</f>
        <v>0</v>
      </c>
      <c r="G101" s="2">
        <f>COUNTIFS(Test_Cases!$C$2:$C$368,A101,Test_Cases!$L$2:$L$368,"Failed")</f>
        <v>0</v>
      </c>
      <c r="H101" s="2">
        <f>COUNTIFS(Test_Cases!$C$2:$C$368,A101,Test_Cases!$L$2:$L$368,"Blocked")</f>
        <v>0</v>
      </c>
      <c r="I101" s="2">
        <f>COUNTIFS(Test_Cases!$C$2:$C$368,A101,Test_Cases!$L$2:$L$368,"Not_Executed")</f>
        <v>0</v>
      </c>
      <c r="J101" s="2" t="str">
        <f t="shared" si="1"/>
        <v>Not Covered</v>
      </c>
      <c r="K101" s="2">
        <f>COUNTIF(Bug_Report!$J$2:$J$55,"*"&amp;A101&amp;"*")</f>
        <v>0</v>
      </c>
    </row>
    <row r="102" spans="1:11">
      <c r="A102" s="2" t="s">
        <v>270</v>
      </c>
      <c r="B102" s="2" t="s">
        <v>259</v>
      </c>
      <c r="C102" s="2" t="s">
        <v>55</v>
      </c>
      <c r="D102" s="2" t="str">
        <f>_xlfn.TEXTJOIN(", ",TRUE,IF(Test_Cases!$C$2:$C$368=A102,Test_Cases!$A$2:$A$368,""))</f>
        <v/>
      </c>
      <c r="E102" s="2">
        <f>COUNTIF(Test_Cases!$C$2:$C$368,A102)</f>
        <v>0</v>
      </c>
      <c r="F102" s="2">
        <f>COUNTIFS(Test_Cases!$C$2:$C$368,A102,Test_Cases!$L$2:$L$368,"Passed")</f>
        <v>0</v>
      </c>
      <c r="G102" s="2">
        <f>COUNTIFS(Test_Cases!$C$2:$C$368,A102,Test_Cases!$L$2:$L$368,"Failed")</f>
        <v>0</v>
      </c>
      <c r="H102" s="2">
        <f>COUNTIFS(Test_Cases!$C$2:$C$368,A102,Test_Cases!$L$2:$L$368,"Blocked")</f>
        <v>0</v>
      </c>
      <c r="I102" s="2">
        <f>COUNTIFS(Test_Cases!$C$2:$C$368,A102,Test_Cases!$L$2:$L$368,"Not_Executed")</f>
        <v>0</v>
      </c>
      <c r="J102" s="2" t="str">
        <f t="shared" si="1"/>
        <v>Not Covered</v>
      </c>
      <c r="K102" s="2">
        <f>COUNTIF(Bug_Report!$J$2:$J$55,"*"&amp;A102&amp;"*")</f>
        <v>0</v>
      </c>
    </row>
    <row r="103" spans="1:11">
      <c r="A103" s="2" t="s">
        <v>272</v>
      </c>
      <c r="B103" s="2" t="s">
        <v>259</v>
      </c>
      <c r="C103" s="2" t="s">
        <v>55</v>
      </c>
      <c r="D103" s="2" t="str">
        <f>_xlfn.TEXTJOIN(", ",TRUE,IF(Test_Cases!$C$2:$C$368=A103,Test_Cases!$A$2:$A$368,""))</f>
        <v/>
      </c>
      <c r="E103" s="2">
        <f>COUNTIF(Test_Cases!$C$2:$C$368,A103)</f>
        <v>0</v>
      </c>
      <c r="F103" s="2">
        <f>COUNTIFS(Test_Cases!$C$2:$C$368,A103,Test_Cases!$L$2:$L$368,"Passed")</f>
        <v>0</v>
      </c>
      <c r="G103" s="2">
        <f>COUNTIFS(Test_Cases!$C$2:$C$368,A103,Test_Cases!$L$2:$L$368,"Failed")</f>
        <v>0</v>
      </c>
      <c r="H103" s="2">
        <f>COUNTIFS(Test_Cases!$C$2:$C$368,A103,Test_Cases!$L$2:$L$368,"Blocked")</f>
        <v>0</v>
      </c>
      <c r="I103" s="2">
        <f>COUNTIFS(Test_Cases!$C$2:$C$368,A103,Test_Cases!$L$2:$L$368,"Not_Executed")</f>
        <v>0</v>
      </c>
      <c r="J103" s="2" t="str">
        <f t="shared" si="1"/>
        <v>Not Covered</v>
      </c>
      <c r="K103" s="2">
        <f>COUNTIF(Bug_Report!$J$2:$J$55,"*"&amp;A103&amp;"*")</f>
        <v>0</v>
      </c>
    </row>
    <row r="104" spans="1:11">
      <c r="A104" s="2" t="s">
        <v>274</v>
      </c>
      <c r="B104" s="2" t="s">
        <v>259</v>
      </c>
      <c r="C104" s="2" t="s">
        <v>113</v>
      </c>
      <c r="D104" s="2" t="str">
        <f>_xlfn.TEXTJOIN(", ",TRUE,IF(Test_Cases!$C$2:$C$368=A104,Test_Cases!$A$2:$A$368,""))</f>
        <v/>
      </c>
      <c r="E104" s="2">
        <f>COUNTIF(Test_Cases!$C$2:$C$368,A104)</f>
        <v>0</v>
      </c>
      <c r="F104" s="2">
        <f>COUNTIFS(Test_Cases!$C$2:$C$368,A104,Test_Cases!$L$2:$L$368,"Passed")</f>
        <v>0</v>
      </c>
      <c r="G104" s="2">
        <f>COUNTIFS(Test_Cases!$C$2:$C$368,A104,Test_Cases!$L$2:$L$368,"Failed")</f>
        <v>0</v>
      </c>
      <c r="H104" s="2">
        <f>COUNTIFS(Test_Cases!$C$2:$C$368,A104,Test_Cases!$L$2:$L$368,"Blocked")</f>
        <v>0</v>
      </c>
      <c r="I104" s="2">
        <f>COUNTIFS(Test_Cases!$C$2:$C$368,A104,Test_Cases!$L$2:$L$368,"Not_Executed")</f>
        <v>0</v>
      </c>
      <c r="J104" s="2" t="str">
        <f t="shared" si="1"/>
        <v>Not Covered</v>
      </c>
      <c r="K104" s="2">
        <f>COUNTIF(Bug_Report!$J$2:$J$55,"*"&amp;A104&amp;"*")</f>
        <v>0</v>
      </c>
    </row>
    <row r="105" spans="1:11">
      <c r="A105" s="2" t="s">
        <v>276</v>
      </c>
      <c r="B105" s="2" t="s">
        <v>259</v>
      </c>
      <c r="C105" s="2" t="s">
        <v>55</v>
      </c>
      <c r="D105" s="2" t="str">
        <f>_xlfn.TEXTJOIN(", ",TRUE,IF(Test_Cases!$C$2:$C$368=A105,Test_Cases!$A$2:$A$368,""))</f>
        <v/>
      </c>
      <c r="E105" s="2">
        <f>COUNTIF(Test_Cases!$C$2:$C$368,A105)</f>
        <v>0</v>
      </c>
      <c r="F105" s="2">
        <f>COUNTIFS(Test_Cases!$C$2:$C$368,A105,Test_Cases!$L$2:$L$368,"Passed")</f>
        <v>0</v>
      </c>
      <c r="G105" s="2">
        <f>COUNTIFS(Test_Cases!$C$2:$C$368,A105,Test_Cases!$L$2:$L$368,"Failed")</f>
        <v>0</v>
      </c>
      <c r="H105" s="2">
        <f>COUNTIFS(Test_Cases!$C$2:$C$368,A105,Test_Cases!$L$2:$L$368,"Blocked")</f>
        <v>0</v>
      </c>
      <c r="I105" s="2">
        <f>COUNTIFS(Test_Cases!$C$2:$C$368,A105,Test_Cases!$L$2:$L$368,"Not_Executed")</f>
        <v>0</v>
      </c>
      <c r="J105" s="2" t="str">
        <f t="shared" si="1"/>
        <v>Not Covered</v>
      </c>
      <c r="K105" s="2">
        <f>COUNTIF(Bug_Report!$J$2:$J$55,"*"&amp;A105&amp;"*")</f>
        <v>0</v>
      </c>
    </row>
    <row r="106" spans="1:11">
      <c r="A106" s="2" t="s">
        <v>278</v>
      </c>
      <c r="B106" s="2" t="s">
        <v>259</v>
      </c>
      <c r="C106" s="2" t="s">
        <v>113</v>
      </c>
      <c r="D106" s="2" t="str">
        <f>_xlfn.TEXTJOIN(", ",TRUE,IF(Test_Cases!$C$2:$C$368=A106,Test_Cases!$A$2:$A$368,""))</f>
        <v/>
      </c>
      <c r="E106" s="2">
        <f>COUNTIF(Test_Cases!$C$2:$C$368,A106)</f>
        <v>0</v>
      </c>
      <c r="F106" s="2">
        <f>COUNTIFS(Test_Cases!$C$2:$C$368,A106,Test_Cases!$L$2:$L$368,"Passed")</f>
        <v>0</v>
      </c>
      <c r="G106" s="2">
        <f>COUNTIFS(Test_Cases!$C$2:$C$368,A106,Test_Cases!$L$2:$L$368,"Failed")</f>
        <v>0</v>
      </c>
      <c r="H106" s="2">
        <f>COUNTIFS(Test_Cases!$C$2:$C$368,A106,Test_Cases!$L$2:$L$368,"Blocked")</f>
        <v>0</v>
      </c>
      <c r="I106" s="2">
        <f>COUNTIFS(Test_Cases!$C$2:$C$368,A106,Test_Cases!$L$2:$L$368,"Not_Executed")</f>
        <v>0</v>
      </c>
      <c r="J106" s="2" t="str">
        <f t="shared" si="1"/>
        <v>Not Covered</v>
      </c>
      <c r="K106" s="2">
        <f>COUNTIF(Bug_Report!$J$2:$J$55,"*"&amp;A106&amp;"*")</f>
        <v>0</v>
      </c>
    </row>
    <row r="107" spans="1:11">
      <c r="A107" s="2" t="s">
        <v>280</v>
      </c>
      <c r="B107" s="2" t="s">
        <v>259</v>
      </c>
      <c r="C107" s="2" t="s">
        <v>55</v>
      </c>
      <c r="D107" s="2" t="str">
        <f>_xlfn.TEXTJOIN(", ",TRUE,IF(Test_Cases!$C$2:$C$368=A107,Test_Cases!$A$2:$A$368,""))</f>
        <v/>
      </c>
      <c r="E107" s="2">
        <f>COUNTIF(Test_Cases!$C$2:$C$368,A107)</f>
        <v>0</v>
      </c>
      <c r="F107" s="2">
        <f>COUNTIFS(Test_Cases!$C$2:$C$368,A107,Test_Cases!$L$2:$L$368,"Passed")</f>
        <v>0</v>
      </c>
      <c r="G107" s="2">
        <f>COUNTIFS(Test_Cases!$C$2:$C$368,A107,Test_Cases!$L$2:$L$368,"Failed")</f>
        <v>0</v>
      </c>
      <c r="H107" s="2">
        <f>COUNTIFS(Test_Cases!$C$2:$C$368,A107,Test_Cases!$L$2:$L$368,"Blocked")</f>
        <v>0</v>
      </c>
      <c r="I107" s="2">
        <f>COUNTIFS(Test_Cases!$C$2:$C$368,A107,Test_Cases!$L$2:$L$368,"Not_Executed")</f>
        <v>0</v>
      </c>
      <c r="J107" s="2" t="str">
        <f t="shared" si="1"/>
        <v>Not Covered</v>
      </c>
      <c r="K107" s="2">
        <f>COUNTIF(Bug_Report!$J$2:$J$55,"*"&amp;A107&amp;"*")</f>
        <v>0</v>
      </c>
    </row>
    <row r="108" spans="1:11">
      <c r="A108" s="2" t="s">
        <v>282</v>
      </c>
      <c r="B108" s="2" t="s">
        <v>284</v>
      </c>
      <c r="C108" s="2" t="s">
        <v>201</v>
      </c>
      <c r="D108" s="2" t="str">
        <f>_xlfn.TEXTJOIN(", ",TRUE,IF(Test_Cases!$C$2:$C$368=A108,Test_Cases!$A$2:$A$368,""))</f>
        <v/>
      </c>
      <c r="E108" s="2">
        <f>COUNTIF(Test_Cases!$C$2:$C$368,A108)</f>
        <v>0</v>
      </c>
      <c r="F108" s="2">
        <f>COUNTIFS(Test_Cases!$C$2:$C$368,A108,Test_Cases!$L$2:$L$368,"Passed")</f>
        <v>0</v>
      </c>
      <c r="G108" s="2">
        <f>COUNTIFS(Test_Cases!$C$2:$C$368,A108,Test_Cases!$L$2:$L$368,"Failed")</f>
        <v>0</v>
      </c>
      <c r="H108" s="2">
        <f>COUNTIFS(Test_Cases!$C$2:$C$368,A108,Test_Cases!$L$2:$L$368,"Blocked")</f>
        <v>0</v>
      </c>
      <c r="I108" s="2">
        <f>COUNTIFS(Test_Cases!$C$2:$C$368,A108,Test_Cases!$L$2:$L$368,"Not_Executed")</f>
        <v>0</v>
      </c>
      <c r="J108" s="2" t="str">
        <f t="shared" si="1"/>
        <v>Not Covered</v>
      </c>
      <c r="K108" s="2">
        <f>COUNTIF(Bug_Report!$J$2:$J$55,"*"&amp;A108&amp;"*")</f>
        <v>0</v>
      </c>
    </row>
    <row r="109" spans="1:11">
      <c r="A109" s="2" t="s">
        <v>285</v>
      </c>
      <c r="B109" s="2" t="s">
        <v>284</v>
      </c>
      <c r="C109" s="2" t="s">
        <v>201</v>
      </c>
      <c r="D109" s="2" t="str">
        <f>_xlfn.TEXTJOIN(", ",TRUE,IF(Test_Cases!$C$2:$C$368=A109,Test_Cases!$A$2:$A$368,""))</f>
        <v/>
      </c>
      <c r="E109" s="2">
        <f>COUNTIF(Test_Cases!$C$2:$C$368,A109)</f>
        <v>0</v>
      </c>
      <c r="F109" s="2">
        <f>COUNTIFS(Test_Cases!$C$2:$C$368,A109,Test_Cases!$L$2:$L$368,"Passed")</f>
        <v>0</v>
      </c>
      <c r="G109" s="2">
        <f>COUNTIFS(Test_Cases!$C$2:$C$368,A109,Test_Cases!$L$2:$L$368,"Failed")</f>
        <v>0</v>
      </c>
      <c r="H109" s="2">
        <f>COUNTIFS(Test_Cases!$C$2:$C$368,A109,Test_Cases!$L$2:$L$368,"Blocked")</f>
        <v>0</v>
      </c>
      <c r="I109" s="2">
        <f>COUNTIFS(Test_Cases!$C$2:$C$368,A109,Test_Cases!$L$2:$L$368,"Not_Executed")</f>
        <v>0</v>
      </c>
      <c r="J109" s="2" t="str">
        <f t="shared" si="1"/>
        <v>Not Covered</v>
      </c>
      <c r="K109" s="2">
        <f>COUNTIF(Bug_Report!$J$2:$J$55,"*"&amp;A109&amp;"*")</f>
        <v>0</v>
      </c>
    </row>
    <row r="110" spans="1:11">
      <c r="A110" s="2" t="s">
        <v>287</v>
      </c>
      <c r="B110" s="2" t="s">
        <v>284</v>
      </c>
      <c r="C110" s="2" t="s">
        <v>201</v>
      </c>
      <c r="D110" s="2" t="str">
        <f>_xlfn.TEXTJOIN(", ",TRUE,IF(Test_Cases!$C$2:$C$368=A110,Test_Cases!$A$2:$A$368,""))</f>
        <v/>
      </c>
      <c r="E110" s="2">
        <f>COUNTIF(Test_Cases!$C$2:$C$368,A110)</f>
        <v>0</v>
      </c>
      <c r="F110" s="2">
        <f>COUNTIFS(Test_Cases!$C$2:$C$368,A110,Test_Cases!$L$2:$L$368,"Passed")</f>
        <v>0</v>
      </c>
      <c r="G110" s="2">
        <f>COUNTIFS(Test_Cases!$C$2:$C$368,A110,Test_Cases!$L$2:$L$368,"Failed")</f>
        <v>0</v>
      </c>
      <c r="H110" s="2">
        <f>COUNTIFS(Test_Cases!$C$2:$C$368,A110,Test_Cases!$L$2:$L$368,"Blocked")</f>
        <v>0</v>
      </c>
      <c r="I110" s="2">
        <f>COUNTIFS(Test_Cases!$C$2:$C$368,A110,Test_Cases!$L$2:$L$368,"Not_Executed")</f>
        <v>0</v>
      </c>
      <c r="J110" s="2" t="str">
        <f t="shared" si="1"/>
        <v>Not Covered</v>
      </c>
      <c r="K110" s="2">
        <f>COUNTIF(Bug_Report!$J$2:$J$55,"*"&amp;A110&amp;"*")</f>
        <v>0</v>
      </c>
    </row>
    <row r="111" spans="1:11">
      <c r="A111" s="2" t="s">
        <v>289</v>
      </c>
      <c r="B111" s="2" t="s">
        <v>284</v>
      </c>
      <c r="C111" s="2" t="s">
        <v>201</v>
      </c>
      <c r="D111" s="2" t="str">
        <f>_xlfn.TEXTJOIN(", ",TRUE,IF(Test_Cases!$C$2:$C$368=A111,Test_Cases!$A$2:$A$368,""))</f>
        <v/>
      </c>
      <c r="E111" s="2">
        <f>COUNTIF(Test_Cases!$C$2:$C$368,A111)</f>
        <v>0</v>
      </c>
      <c r="F111" s="2">
        <f>COUNTIFS(Test_Cases!$C$2:$C$368,A111,Test_Cases!$L$2:$L$368,"Passed")</f>
        <v>0</v>
      </c>
      <c r="G111" s="2">
        <f>COUNTIFS(Test_Cases!$C$2:$C$368,A111,Test_Cases!$L$2:$L$368,"Failed")</f>
        <v>0</v>
      </c>
      <c r="H111" s="2">
        <f>COUNTIFS(Test_Cases!$C$2:$C$368,A111,Test_Cases!$L$2:$L$368,"Blocked")</f>
        <v>0</v>
      </c>
      <c r="I111" s="2">
        <f>COUNTIFS(Test_Cases!$C$2:$C$368,A111,Test_Cases!$L$2:$L$368,"Not_Executed")</f>
        <v>0</v>
      </c>
      <c r="J111" s="2" t="str">
        <f t="shared" si="1"/>
        <v>Not Covered</v>
      </c>
      <c r="K111" s="2">
        <f>COUNTIF(Bug_Report!$J$2:$J$55,"*"&amp;A111&amp;"*")</f>
        <v>0</v>
      </c>
    </row>
    <row r="112" spans="1:11">
      <c r="A112" s="2" t="s">
        <v>291</v>
      </c>
      <c r="B112" s="2" t="s">
        <v>284</v>
      </c>
      <c r="C112" s="2" t="s">
        <v>201</v>
      </c>
      <c r="D112" s="2" t="str">
        <f>_xlfn.TEXTJOIN(", ",TRUE,IF(Test_Cases!$C$2:$C$368=A112,Test_Cases!$A$2:$A$368,""))</f>
        <v/>
      </c>
      <c r="E112" s="2">
        <f>COUNTIF(Test_Cases!$C$2:$C$368,A112)</f>
        <v>0</v>
      </c>
      <c r="F112" s="2">
        <f>COUNTIFS(Test_Cases!$C$2:$C$368,A112,Test_Cases!$L$2:$L$368,"Passed")</f>
        <v>0</v>
      </c>
      <c r="G112" s="2">
        <f>COUNTIFS(Test_Cases!$C$2:$C$368,A112,Test_Cases!$L$2:$L$368,"Failed")</f>
        <v>0</v>
      </c>
      <c r="H112" s="2">
        <f>COUNTIFS(Test_Cases!$C$2:$C$368,A112,Test_Cases!$L$2:$L$368,"Blocked")</f>
        <v>0</v>
      </c>
      <c r="I112" s="2">
        <f>COUNTIFS(Test_Cases!$C$2:$C$368,A112,Test_Cases!$L$2:$L$368,"Not_Executed")</f>
        <v>0</v>
      </c>
      <c r="J112" s="2" t="str">
        <f t="shared" si="1"/>
        <v>Not Covered</v>
      </c>
      <c r="K112" s="2">
        <f>COUNTIF(Bug_Report!$J$2:$J$55,"*"&amp;A112&amp;"*")</f>
        <v>0</v>
      </c>
    </row>
    <row r="113" spans="1:11">
      <c r="A113" s="2" t="s">
        <v>293</v>
      </c>
      <c r="B113" s="2" t="s">
        <v>284</v>
      </c>
      <c r="C113" s="2" t="s">
        <v>201</v>
      </c>
      <c r="D113" s="2" t="str">
        <f>_xlfn.TEXTJOIN(", ",TRUE,IF(Test_Cases!$C$2:$C$368=A113,Test_Cases!$A$2:$A$368,""))</f>
        <v/>
      </c>
      <c r="E113" s="2">
        <f>COUNTIF(Test_Cases!$C$2:$C$368,A113)</f>
        <v>0</v>
      </c>
      <c r="F113" s="2">
        <f>COUNTIFS(Test_Cases!$C$2:$C$368,A113,Test_Cases!$L$2:$L$368,"Passed")</f>
        <v>0</v>
      </c>
      <c r="G113" s="2">
        <f>COUNTIFS(Test_Cases!$C$2:$C$368,A113,Test_Cases!$L$2:$L$368,"Failed")</f>
        <v>0</v>
      </c>
      <c r="H113" s="2">
        <f>COUNTIFS(Test_Cases!$C$2:$C$368,A113,Test_Cases!$L$2:$L$368,"Blocked")</f>
        <v>0</v>
      </c>
      <c r="I113" s="2">
        <f>COUNTIFS(Test_Cases!$C$2:$C$368,A113,Test_Cases!$L$2:$L$368,"Not_Executed")</f>
        <v>0</v>
      </c>
      <c r="J113" s="2" t="str">
        <f t="shared" si="1"/>
        <v>Not Covered</v>
      </c>
      <c r="K113" s="2">
        <f>COUNTIF(Bug_Report!$J$2:$J$55,"*"&amp;A113&amp;"*")</f>
        <v>0</v>
      </c>
    </row>
    <row r="114" spans="1:11">
      <c r="A114" s="2" t="s">
        <v>295</v>
      </c>
      <c r="B114" s="2" t="s">
        <v>91</v>
      </c>
      <c r="C114" s="2" t="s">
        <v>55</v>
      </c>
      <c r="D114" s="2" t="str">
        <f>_xlfn.TEXTJOIN(", ",TRUE,IF(Test_Cases!$C$2:$C$368=A114,Test_Cases!$A$2:$A$368,""))</f>
        <v/>
      </c>
      <c r="E114" s="2">
        <f>COUNTIF(Test_Cases!$C$2:$C$368,A114)</f>
        <v>0</v>
      </c>
      <c r="F114" s="2">
        <f>COUNTIFS(Test_Cases!$C$2:$C$368,A114,Test_Cases!$L$2:$L$368,"Passed")</f>
        <v>0</v>
      </c>
      <c r="G114" s="2">
        <f>COUNTIFS(Test_Cases!$C$2:$C$368,A114,Test_Cases!$L$2:$L$368,"Failed")</f>
        <v>0</v>
      </c>
      <c r="H114" s="2">
        <f>COUNTIFS(Test_Cases!$C$2:$C$368,A114,Test_Cases!$L$2:$L$368,"Blocked")</f>
        <v>0</v>
      </c>
      <c r="I114" s="2">
        <f>COUNTIFS(Test_Cases!$C$2:$C$368,A114,Test_Cases!$L$2:$L$368,"Not_Executed")</f>
        <v>0</v>
      </c>
      <c r="J114" s="2" t="str">
        <f t="shared" si="1"/>
        <v>Not Covered</v>
      </c>
      <c r="K114" s="2">
        <f>COUNTIF(Bug_Report!$J$2:$J$55,"*"&amp;A114&amp;"*")</f>
        <v>0</v>
      </c>
    </row>
    <row r="115" spans="1:11">
      <c r="A115" s="2" t="s">
        <v>297</v>
      </c>
      <c r="B115" s="2" t="s">
        <v>91</v>
      </c>
      <c r="C115" s="2" t="s">
        <v>55</v>
      </c>
      <c r="D115" s="2" t="str">
        <f>_xlfn.TEXTJOIN(", ",TRUE,IF(Test_Cases!$C$2:$C$368=A115,Test_Cases!$A$2:$A$368,""))</f>
        <v/>
      </c>
      <c r="E115" s="2">
        <f>COUNTIF(Test_Cases!$C$2:$C$368,A115)</f>
        <v>0</v>
      </c>
      <c r="F115" s="2">
        <f>COUNTIFS(Test_Cases!$C$2:$C$368,A115,Test_Cases!$L$2:$L$368,"Passed")</f>
        <v>0</v>
      </c>
      <c r="G115" s="2">
        <f>COUNTIFS(Test_Cases!$C$2:$C$368,A115,Test_Cases!$L$2:$L$368,"Failed")</f>
        <v>0</v>
      </c>
      <c r="H115" s="2">
        <f>COUNTIFS(Test_Cases!$C$2:$C$368,A115,Test_Cases!$L$2:$L$368,"Blocked")</f>
        <v>0</v>
      </c>
      <c r="I115" s="2">
        <f>COUNTIFS(Test_Cases!$C$2:$C$368,A115,Test_Cases!$L$2:$L$368,"Not_Executed")</f>
        <v>0</v>
      </c>
      <c r="J115" s="2" t="str">
        <f t="shared" si="1"/>
        <v>Not Covered</v>
      </c>
      <c r="K115" s="2">
        <f>COUNTIF(Bug_Report!$J$2:$J$55,"*"&amp;A115&amp;"*")</f>
        <v>0</v>
      </c>
    </row>
    <row r="116" spans="1:11">
      <c r="A116" s="2" t="s">
        <v>299</v>
      </c>
      <c r="B116" s="2" t="s">
        <v>91</v>
      </c>
      <c r="C116" s="2" t="s">
        <v>55</v>
      </c>
      <c r="D116" s="2" t="str">
        <f>_xlfn.TEXTJOIN(", ",TRUE,IF(Test_Cases!$C$2:$C$368=A116,Test_Cases!$A$2:$A$368,""))</f>
        <v/>
      </c>
      <c r="E116" s="2">
        <f>COUNTIF(Test_Cases!$C$2:$C$368,A116)</f>
        <v>0</v>
      </c>
      <c r="F116" s="2">
        <f>COUNTIFS(Test_Cases!$C$2:$C$368,A116,Test_Cases!$L$2:$L$368,"Passed")</f>
        <v>0</v>
      </c>
      <c r="G116" s="2">
        <f>COUNTIFS(Test_Cases!$C$2:$C$368,A116,Test_Cases!$L$2:$L$368,"Failed")</f>
        <v>0</v>
      </c>
      <c r="H116" s="2">
        <f>COUNTIFS(Test_Cases!$C$2:$C$368,A116,Test_Cases!$L$2:$L$368,"Blocked")</f>
        <v>0</v>
      </c>
      <c r="I116" s="2">
        <f>COUNTIFS(Test_Cases!$C$2:$C$368,A116,Test_Cases!$L$2:$L$368,"Not_Executed")</f>
        <v>0</v>
      </c>
      <c r="J116" s="2" t="str">
        <f t="shared" si="1"/>
        <v>Not Covered</v>
      </c>
      <c r="K116" s="2">
        <f>COUNTIF(Bug_Report!$J$2:$J$55,"*"&amp;A116&amp;"*")</f>
        <v>0</v>
      </c>
    </row>
    <row r="117" spans="1:11">
      <c r="A117" s="2" t="s">
        <v>301</v>
      </c>
      <c r="B117" s="2" t="s">
        <v>303</v>
      </c>
      <c r="C117" s="2" t="s">
        <v>55</v>
      </c>
      <c r="D117" s="2" t="str">
        <f>_xlfn.TEXTJOIN(", ",TRUE,IF(Test_Cases!$C$2:$C$368=A117,Test_Cases!$A$2:$A$368,""))</f>
        <v/>
      </c>
      <c r="E117" s="2">
        <f>COUNTIF(Test_Cases!$C$2:$C$368,A117)</f>
        <v>0</v>
      </c>
      <c r="F117" s="2">
        <f>COUNTIFS(Test_Cases!$C$2:$C$368,A117,Test_Cases!$L$2:$L$368,"Passed")</f>
        <v>0</v>
      </c>
      <c r="G117" s="2">
        <f>COUNTIFS(Test_Cases!$C$2:$C$368,A117,Test_Cases!$L$2:$L$368,"Failed")</f>
        <v>0</v>
      </c>
      <c r="H117" s="2">
        <f>COUNTIFS(Test_Cases!$C$2:$C$368,A117,Test_Cases!$L$2:$L$368,"Blocked")</f>
        <v>0</v>
      </c>
      <c r="I117" s="2">
        <f>COUNTIFS(Test_Cases!$C$2:$C$368,A117,Test_Cases!$L$2:$L$368,"Not_Executed")</f>
        <v>0</v>
      </c>
      <c r="J117" s="2" t="str">
        <f t="shared" si="1"/>
        <v>Not Covered</v>
      </c>
      <c r="K117" s="2">
        <f>COUNTIF(Bug_Report!$J$2:$J$55,"*"&amp;A117&amp;"*")</f>
        <v>0</v>
      </c>
    </row>
    <row r="118" spans="1:11">
      <c r="A118" s="2" t="s">
        <v>304</v>
      </c>
      <c r="B118" s="2" t="s">
        <v>303</v>
      </c>
      <c r="C118" s="2" t="s">
        <v>55</v>
      </c>
      <c r="D118" s="2" t="str">
        <f>_xlfn.TEXTJOIN(", ",TRUE,IF(Test_Cases!$C$2:$C$368=A118,Test_Cases!$A$2:$A$368,""))</f>
        <v/>
      </c>
      <c r="E118" s="2">
        <f>COUNTIF(Test_Cases!$C$2:$C$368,A118)</f>
        <v>0</v>
      </c>
      <c r="F118" s="2">
        <f>COUNTIFS(Test_Cases!$C$2:$C$368,A118,Test_Cases!$L$2:$L$368,"Passed")</f>
        <v>0</v>
      </c>
      <c r="G118" s="2">
        <f>COUNTIFS(Test_Cases!$C$2:$C$368,A118,Test_Cases!$L$2:$L$368,"Failed")</f>
        <v>0</v>
      </c>
      <c r="H118" s="2">
        <f>COUNTIFS(Test_Cases!$C$2:$C$368,A118,Test_Cases!$L$2:$L$368,"Blocked")</f>
        <v>0</v>
      </c>
      <c r="I118" s="2">
        <f>COUNTIFS(Test_Cases!$C$2:$C$368,A118,Test_Cases!$L$2:$L$368,"Not_Executed")</f>
        <v>0</v>
      </c>
      <c r="J118" s="2" t="str">
        <f t="shared" si="1"/>
        <v>Not Covered</v>
      </c>
      <c r="K118" s="2">
        <f>COUNTIF(Bug_Report!$J$2:$J$55,"*"&amp;A118&amp;"*")</f>
        <v>0</v>
      </c>
    </row>
    <row r="119" spans="1:11">
      <c r="A119" s="2" t="s">
        <v>306</v>
      </c>
      <c r="B119" s="2" t="s">
        <v>303</v>
      </c>
      <c r="C119" s="2" t="s">
        <v>55</v>
      </c>
      <c r="D119" s="2" t="str">
        <f>_xlfn.TEXTJOIN(", ",TRUE,IF(Test_Cases!$C$2:$C$368=A119,Test_Cases!$A$2:$A$368,""))</f>
        <v/>
      </c>
      <c r="E119" s="2">
        <f>COUNTIF(Test_Cases!$C$2:$C$368,A119)</f>
        <v>0</v>
      </c>
      <c r="F119" s="2">
        <f>COUNTIFS(Test_Cases!$C$2:$C$368,A119,Test_Cases!$L$2:$L$368,"Passed")</f>
        <v>0</v>
      </c>
      <c r="G119" s="2">
        <f>COUNTIFS(Test_Cases!$C$2:$C$368,A119,Test_Cases!$L$2:$L$368,"Failed")</f>
        <v>0</v>
      </c>
      <c r="H119" s="2">
        <f>COUNTIFS(Test_Cases!$C$2:$C$368,A119,Test_Cases!$L$2:$L$368,"Blocked")</f>
        <v>0</v>
      </c>
      <c r="I119" s="2">
        <f>COUNTIFS(Test_Cases!$C$2:$C$368,A119,Test_Cases!$L$2:$L$368,"Not_Executed")</f>
        <v>0</v>
      </c>
      <c r="J119" s="2" t="str">
        <f t="shared" si="1"/>
        <v>Not Covered</v>
      </c>
      <c r="K119" s="2">
        <f>COUNTIF(Bug_Report!$J$2:$J$55,"*"&amp;A119&amp;"*")</f>
        <v>0</v>
      </c>
    </row>
    <row r="120" spans="1:11">
      <c r="A120" s="2" t="s">
        <v>308</v>
      </c>
      <c r="B120" s="2" t="s">
        <v>303</v>
      </c>
      <c r="C120" s="2" t="s">
        <v>55</v>
      </c>
      <c r="D120" s="2" t="str">
        <f>_xlfn.TEXTJOIN(", ",TRUE,IF(Test_Cases!$C$2:$C$368=A120,Test_Cases!$A$2:$A$368,""))</f>
        <v/>
      </c>
      <c r="E120" s="2">
        <f>COUNTIF(Test_Cases!$C$2:$C$368,A120)</f>
        <v>0</v>
      </c>
      <c r="F120" s="2">
        <f>COUNTIFS(Test_Cases!$C$2:$C$368,A120,Test_Cases!$L$2:$L$368,"Passed")</f>
        <v>0</v>
      </c>
      <c r="G120" s="2">
        <f>COUNTIFS(Test_Cases!$C$2:$C$368,A120,Test_Cases!$L$2:$L$368,"Failed")</f>
        <v>0</v>
      </c>
      <c r="H120" s="2">
        <f>COUNTIFS(Test_Cases!$C$2:$C$368,A120,Test_Cases!$L$2:$L$368,"Blocked")</f>
        <v>0</v>
      </c>
      <c r="I120" s="2">
        <f>COUNTIFS(Test_Cases!$C$2:$C$368,A120,Test_Cases!$L$2:$L$368,"Not_Executed")</f>
        <v>0</v>
      </c>
      <c r="J120" s="2" t="str">
        <f t="shared" si="1"/>
        <v>Not Covered</v>
      </c>
      <c r="K120" s="2">
        <f>COUNTIF(Bug_Report!$J$2:$J$55,"*"&amp;A120&amp;"*")</f>
        <v>0</v>
      </c>
    </row>
    <row r="121" spans="1:11">
      <c r="A121" s="2" t="s">
        <v>310</v>
      </c>
      <c r="B121" s="2" t="s">
        <v>303</v>
      </c>
      <c r="C121" s="2" t="s">
        <v>55</v>
      </c>
      <c r="D121" s="2" t="str">
        <f>_xlfn.TEXTJOIN(", ",TRUE,IF(Test_Cases!$C$2:$C$368=A121,Test_Cases!$A$2:$A$368,""))</f>
        <v/>
      </c>
      <c r="E121" s="2">
        <f>COUNTIF(Test_Cases!$C$2:$C$368,A121)</f>
        <v>0</v>
      </c>
      <c r="F121" s="2">
        <f>COUNTIFS(Test_Cases!$C$2:$C$368,A121,Test_Cases!$L$2:$L$368,"Passed")</f>
        <v>0</v>
      </c>
      <c r="G121" s="2">
        <f>COUNTIFS(Test_Cases!$C$2:$C$368,A121,Test_Cases!$L$2:$L$368,"Failed")</f>
        <v>0</v>
      </c>
      <c r="H121" s="2">
        <f>COUNTIFS(Test_Cases!$C$2:$C$368,A121,Test_Cases!$L$2:$L$368,"Blocked")</f>
        <v>0</v>
      </c>
      <c r="I121" s="2">
        <f>COUNTIFS(Test_Cases!$C$2:$C$368,A121,Test_Cases!$L$2:$L$368,"Not_Executed")</f>
        <v>0</v>
      </c>
      <c r="J121" s="2" t="str">
        <f t="shared" si="1"/>
        <v>Not Covered</v>
      </c>
      <c r="K121" s="2">
        <f>COUNTIF(Bug_Report!$J$2:$J$55,"*"&amp;A121&amp;"*")</f>
        <v>0</v>
      </c>
    </row>
    <row r="122" spans="1:11">
      <c r="A122" s="2" t="s">
        <v>312</v>
      </c>
      <c r="B122" s="2" t="s">
        <v>303</v>
      </c>
      <c r="C122" s="2" t="s">
        <v>55</v>
      </c>
      <c r="D122" s="2" t="str">
        <f>_xlfn.TEXTJOIN(", ",TRUE,IF(Test_Cases!$C$2:$C$368=A122,Test_Cases!$A$2:$A$368,""))</f>
        <v/>
      </c>
      <c r="E122" s="2">
        <f>COUNTIF(Test_Cases!$C$2:$C$368,A122)</f>
        <v>0</v>
      </c>
      <c r="F122" s="2">
        <f>COUNTIFS(Test_Cases!$C$2:$C$368,A122,Test_Cases!$L$2:$L$368,"Passed")</f>
        <v>0</v>
      </c>
      <c r="G122" s="2">
        <f>COUNTIFS(Test_Cases!$C$2:$C$368,A122,Test_Cases!$L$2:$L$368,"Failed")</f>
        <v>0</v>
      </c>
      <c r="H122" s="2">
        <f>COUNTIFS(Test_Cases!$C$2:$C$368,A122,Test_Cases!$L$2:$L$368,"Blocked")</f>
        <v>0</v>
      </c>
      <c r="I122" s="2">
        <f>COUNTIFS(Test_Cases!$C$2:$C$368,A122,Test_Cases!$L$2:$L$368,"Not_Executed")</f>
        <v>0</v>
      </c>
      <c r="J122" s="2" t="str">
        <f t="shared" si="1"/>
        <v>Not Covered</v>
      </c>
      <c r="K122" s="2">
        <f>COUNTIF(Bug_Report!$J$2:$J$55,"*"&amp;A122&amp;"*")</f>
        <v>0</v>
      </c>
    </row>
    <row r="123" spans="1:11">
      <c r="A123" s="2" t="s">
        <v>314</v>
      </c>
      <c r="B123" s="2" t="s">
        <v>303</v>
      </c>
      <c r="C123" s="2" t="s">
        <v>55</v>
      </c>
      <c r="D123" s="2" t="str">
        <f>_xlfn.TEXTJOIN(", ",TRUE,IF(Test_Cases!$C$2:$C$368=A123,Test_Cases!$A$2:$A$368,""))</f>
        <v/>
      </c>
      <c r="E123" s="2">
        <f>COUNTIF(Test_Cases!$C$2:$C$368,A123)</f>
        <v>0</v>
      </c>
      <c r="F123" s="2">
        <f>COUNTIFS(Test_Cases!$C$2:$C$368,A123,Test_Cases!$L$2:$L$368,"Passed")</f>
        <v>0</v>
      </c>
      <c r="G123" s="2">
        <f>COUNTIFS(Test_Cases!$C$2:$C$368,A123,Test_Cases!$L$2:$L$368,"Failed")</f>
        <v>0</v>
      </c>
      <c r="H123" s="2">
        <f>COUNTIFS(Test_Cases!$C$2:$C$368,A123,Test_Cases!$L$2:$L$368,"Blocked")</f>
        <v>0</v>
      </c>
      <c r="I123" s="2">
        <f>COUNTIFS(Test_Cases!$C$2:$C$368,A123,Test_Cases!$L$2:$L$368,"Not_Executed")</f>
        <v>0</v>
      </c>
      <c r="J123" s="2" t="str">
        <f t="shared" si="1"/>
        <v>Not Covered</v>
      </c>
      <c r="K123" s="2">
        <f>COUNTIF(Bug_Report!$J$2:$J$55,"*"&amp;A123&amp;"*")</f>
        <v>0</v>
      </c>
    </row>
    <row r="124" spans="1:11">
      <c r="A124" s="2" t="s">
        <v>316</v>
      </c>
      <c r="B124" s="2" t="s">
        <v>303</v>
      </c>
      <c r="C124" s="2" t="s">
        <v>55</v>
      </c>
      <c r="D124" s="2" t="str">
        <f>_xlfn.TEXTJOIN(", ",TRUE,IF(Test_Cases!$C$2:$C$368=A124,Test_Cases!$A$2:$A$368,""))</f>
        <v/>
      </c>
      <c r="E124" s="2">
        <f>COUNTIF(Test_Cases!$C$2:$C$368,A124)</f>
        <v>0</v>
      </c>
      <c r="F124" s="2">
        <f>COUNTIFS(Test_Cases!$C$2:$C$368,A124,Test_Cases!$L$2:$L$368,"Passed")</f>
        <v>0</v>
      </c>
      <c r="G124" s="2">
        <f>COUNTIFS(Test_Cases!$C$2:$C$368,A124,Test_Cases!$L$2:$L$368,"Failed")</f>
        <v>0</v>
      </c>
      <c r="H124" s="2">
        <f>COUNTIFS(Test_Cases!$C$2:$C$368,A124,Test_Cases!$L$2:$L$368,"Blocked")</f>
        <v>0</v>
      </c>
      <c r="I124" s="2">
        <f>COUNTIFS(Test_Cases!$C$2:$C$368,A124,Test_Cases!$L$2:$L$368,"Not_Executed")</f>
        <v>0</v>
      </c>
      <c r="J124" s="2" t="str">
        <f t="shared" si="1"/>
        <v>Not Covered</v>
      </c>
      <c r="K124" s="2">
        <f>COUNTIF(Bug_Report!$J$2:$J$55,"*"&amp;A124&amp;"*")</f>
        <v>0</v>
      </c>
    </row>
    <row r="125" spans="1:11">
      <c r="A125" s="2" t="s">
        <v>318</v>
      </c>
      <c r="B125" s="2" t="s">
        <v>320</v>
      </c>
      <c r="C125" s="2" t="s">
        <v>55</v>
      </c>
      <c r="D125" s="2" t="str">
        <f>_xlfn.TEXTJOIN(", ",TRUE,IF(Test_Cases!$C$2:$C$368=A125,Test_Cases!$A$2:$A$368,""))</f>
        <v/>
      </c>
      <c r="E125" s="2">
        <f>COUNTIF(Test_Cases!$C$2:$C$368,A125)</f>
        <v>0</v>
      </c>
      <c r="F125" s="2">
        <f>COUNTIFS(Test_Cases!$C$2:$C$368,A125,Test_Cases!$L$2:$L$368,"Passed")</f>
        <v>0</v>
      </c>
      <c r="G125" s="2">
        <f>COUNTIFS(Test_Cases!$C$2:$C$368,A125,Test_Cases!$L$2:$L$368,"Failed")</f>
        <v>0</v>
      </c>
      <c r="H125" s="2">
        <f>COUNTIFS(Test_Cases!$C$2:$C$368,A125,Test_Cases!$L$2:$L$368,"Blocked")</f>
        <v>0</v>
      </c>
      <c r="I125" s="2">
        <f>COUNTIFS(Test_Cases!$C$2:$C$368,A125,Test_Cases!$L$2:$L$368,"Not_Executed")</f>
        <v>0</v>
      </c>
      <c r="J125" s="2" t="str">
        <f t="shared" si="1"/>
        <v>Not Covered</v>
      </c>
      <c r="K125" s="2">
        <f>COUNTIF(Bug_Report!$J$2:$J$55,"*"&amp;A125&amp;"*")</f>
        <v>0</v>
      </c>
    </row>
    <row r="126" spans="1:11">
      <c r="A126" s="2" t="s">
        <v>321</v>
      </c>
      <c r="B126" s="2" t="s">
        <v>320</v>
      </c>
      <c r="C126" s="2" t="s">
        <v>55</v>
      </c>
      <c r="D126" s="2" t="str">
        <f>_xlfn.TEXTJOIN(", ",TRUE,IF(Test_Cases!$C$2:$C$368=A126,Test_Cases!$A$2:$A$368,""))</f>
        <v/>
      </c>
      <c r="E126" s="2">
        <f>COUNTIF(Test_Cases!$C$2:$C$368,A126)</f>
        <v>0</v>
      </c>
      <c r="F126" s="2">
        <f>COUNTIFS(Test_Cases!$C$2:$C$368,A126,Test_Cases!$L$2:$L$368,"Passed")</f>
        <v>0</v>
      </c>
      <c r="G126" s="2">
        <f>COUNTIFS(Test_Cases!$C$2:$C$368,A126,Test_Cases!$L$2:$L$368,"Failed")</f>
        <v>0</v>
      </c>
      <c r="H126" s="2">
        <f>COUNTIFS(Test_Cases!$C$2:$C$368,A126,Test_Cases!$L$2:$L$368,"Blocked")</f>
        <v>0</v>
      </c>
      <c r="I126" s="2">
        <f>COUNTIFS(Test_Cases!$C$2:$C$368,A126,Test_Cases!$L$2:$L$368,"Not_Executed")</f>
        <v>0</v>
      </c>
      <c r="J126" s="2" t="str">
        <f t="shared" si="1"/>
        <v>Not Covered</v>
      </c>
      <c r="K126" s="2">
        <f>COUNTIF(Bug_Report!$J$2:$J$55,"*"&amp;A126&amp;"*")</f>
        <v>0</v>
      </c>
    </row>
    <row r="127" spans="1:11">
      <c r="A127" s="2" t="s">
        <v>323</v>
      </c>
      <c r="B127" s="2" t="s">
        <v>320</v>
      </c>
      <c r="C127" s="2" t="s">
        <v>55</v>
      </c>
      <c r="D127" s="2" t="str">
        <f>_xlfn.TEXTJOIN(", ",TRUE,IF(Test_Cases!$C$2:$C$368=A127,Test_Cases!$A$2:$A$368,""))</f>
        <v/>
      </c>
      <c r="E127" s="2">
        <f>COUNTIF(Test_Cases!$C$2:$C$368,A127)</f>
        <v>0</v>
      </c>
      <c r="F127" s="2">
        <f>COUNTIFS(Test_Cases!$C$2:$C$368,A127,Test_Cases!$L$2:$L$368,"Passed")</f>
        <v>0</v>
      </c>
      <c r="G127" s="2">
        <f>COUNTIFS(Test_Cases!$C$2:$C$368,A127,Test_Cases!$L$2:$L$368,"Failed")</f>
        <v>0</v>
      </c>
      <c r="H127" s="2">
        <f>COUNTIFS(Test_Cases!$C$2:$C$368,A127,Test_Cases!$L$2:$L$368,"Blocked")</f>
        <v>0</v>
      </c>
      <c r="I127" s="2">
        <f>COUNTIFS(Test_Cases!$C$2:$C$368,A127,Test_Cases!$L$2:$L$368,"Not_Executed")</f>
        <v>0</v>
      </c>
      <c r="J127" s="2" t="str">
        <f t="shared" si="1"/>
        <v>Not Covered</v>
      </c>
      <c r="K127" s="2">
        <f>COUNTIF(Bug_Report!$J$2:$J$55,"*"&amp;A127&amp;"*")</f>
        <v>0</v>
      </c>
    </row>
    <row r="128" spans="1:11">
      <c r="A128" s="2" t="s">
        <v>325</v>
      </c>
      <c r="B128" s="2" t="s">
        <v>320</v>
      </c>
      <c r="C128" s="2" t="s">
        <v>113</v>
      </c>
      <c r="D128" s="2" t="str">
        <f>_xlfn.TEXTJOIN(", ",TRUE,IF(Test_Cases!$C$2:$C$368=A128,Test_Cases!$A$2:$A$368,""))</f>
        <v/>
      </c>
      <c r="E128" s="2">
        <f>COUNTIF(Test_Cases!$C$2:$C$368,A128)</f>
        <v>0</v>
      </c>
      <c r="F128" s="2">
        <f>COUNTIFS(Test_Cases!$C$2:$C$368,A128,Test_Cases!$L$2:$L$368,"Passed")</f>
        <v>0</v>
      </c>
      <c r="G128" s="2">
        <f>COUNTIFS(Test_Cases!$C$2:$C$368,A128,Test_Cases!$L$2:$L$368,"Failed")</f>
        <v>0</v>
      </c>
      <c r="H128" s="2">
        <f>COUNTIFS(Test_Cases!$C$2:$C$368,A128,Test_Cases!$L$2:$L$368,"Blocked")</f>
        <v>0</v>
      </c>
      <c r="I128" s="2">
        <f>COUNTIFS(Test_Cases!$C$2:$C$368,A128,Test_Cases!$L$2:$L$368,"Not_Executed")</f>
        <v>0</v>
      </c>
      <c r="J128" s="2" t="str">
        <f t="shared" si="1"/>
        <v>Not Covered</v>
      </c>
      <c r="K128" s="2">
        <f>COUNTIF(Bug_Report!$J$2:$J$55,"*"&amp;A128&amp;"*")</f>
        <v>0</v>
      </c>
    </row>
    <row r="129" spans="1:11">
      <c r="A129" s="2" t="s">
        <v>327</v>
      </c>
      <c r="B129" s="2" t="s">
        <v>329</v>
      </c>
      <c r="C129" s="2" t="s">
        <v>113</v>
      </c>
      <c r="D129" s="2" t="str">
        <f>_xlfn.TEXTJOIN(", ",TRUE,IF(Test_Cases!$C$2:$C$368=A129,Test_Cases!$A$2:$A$368,""))</f>
        <v/>
      </c>
      <c r="E129" s="2">
        <f>COUNTIF(Test_Cases!$C$2:$C$368,A129)</f>
        <v>0</v>
      </c>
      <c r="F129" s="2">
        <f>COUNTIFS(Test_Cases!$C$2:$C$368,A129,Test_Cases!$L$2:$L$368,"Passed")</f>
        <v>0</v>
      </c>
      <c r="G129" s="2">
        <f>COUNTIFS(Test_Cases!$C$2:$C$368,A129,Test_Cases!$L$2:$L$368,"Failed")</f>
        <v>0</v>
      </c>
      <c r="H129" s="2">
        <f>COUNTIFS(Test_Cases!$C$2:$C$368,A129,Test_Cases!$L$2:$L$368,"Blocked")</f>
        <v>0</v>
      </c>
      <c r="I129" s="2">
        <f>COUNTIFS(Test_Cases!$C$2:$C$368,A129,Test_Cases!$L$2:$L$368,"Not_Executed")</f>
        <v>0</v>
      </c>
      <c r="J129" s="2" t="str">
        <f t="shared" si="1"/>
        <v>Not Covered</v>
      </c>
      <c r="K129" s="2">
        <f>COUNTIF(Bug_Report!$J$2:$J$55,"*"&amp;A129&amp;"*")</f>
        <v>0</v>
      </c>
    </row>
    <row r="130" spans="1:11">
      <c r="A130" s="2" t="s">
        <v>330</v>
      </c>
      <c r="B130" s="2" t="s">
        <v>332</v>
      </c>
      <c r="C130" s="2" t="s">
        <v>55</v>
      </c>
      <c r="D130" s="2" t="str">
        <f>_xlfn.TEXTJOIN(", ",TRUE,IF(Test_Cases!$C$2:$C$368=A130,Test_Cases!$A$2:$A$368,""))</f>
        <v/>
      </c>
      <c r="E130" s="2">
        <f>COUNTIF(Test_Cases!$C$2:$C$368,A130)</f>
        <v>0</v>
      </c>
      <c r="F130" s="2">
        <f>COUNTIFS(Test_Cases!$C$2:$C$368,A130,Test_Cases!$L$2:$L$368,"Passed")</f>
        <v>0</v>
      </c>
      <c r="G130" s="2">
        <f>COUNTIFS(Test_Cases!$C$2:$C$368,A130,Test_Cases!$L$2:$L$368,"Failed")</f>
        <v>0</v>
      </c>
      <c r="H130" s="2">
        <f>COUNTIFS(Test_Cases!$C$2:$C$368,A130,Test_Cases!$L$2:$L$368,"Blocked")</f>
        <v>0</v>
      </c>
      <c r="I130" s="2">
        <f>COUNTIFS(Test_Cases!$C$2:$C$368,A130,Test_Cases!$L$2:$L$368,"Not_Executed")</f>
        <v>0</v>
      </c>
      <c r="J130" s="2" t="str">
        <f t="shared" ref="J130:J145" si="2">IF(E130=0,"Not Covered",IF(G130&gt;0,"Failing",IF(F130=E130,"Fully Covered","Partial")))</f>
        <v>Not Covered</v>
      </c>
      <c r="K130" s="2">
        <f>COUNTIF(Bug_Report!$J$2:$J$55,"*"&amp;A130&amp;"*")</f>
        <v>0</v>
      </c>
    </row>
    <row r="131" spans="1:11">
      <c r="A131" s="2" t="s">
        <v>333</v>
      </c>
      <c r="B131" s="2" t="s">
        <v>332</v>
      </c>
      <c r="C131" s="2" t="s">
        <v>55</v>
      </c>
      <c r="D131" s="2" t="str">
        <f>_xlfn.TEXTJOIN(", ",TRUE,IF(Test_Cases!$C$2:$C$368=A131,Test_Cases!$A$2:$A$368,""))</f>
        <v/>
      </c>
      <c r="E131" s="2">
        <f>COUNTIF(Test_Cases!$C$2:$C$368,A131)</f>
        <v>0</v>
      </c>
      <c r="F131" s="2">
        <f>COUNTIFS(Test_Cases!$C$2:$C$368,A131,Test_Cases!$L$2:$L$368,"Passed")</f>
        <v>0</v>
      </c>
      <c r="G131" s="2">
        <f>COUNTIFS(Test_Cases!$C$2:$C$368,A131,Test_Cases!$L$2:$L$368,"Failed")</f>
        <v>0</v>
      </c>
      <c r="H131" s="2">
        <f>COUNTIFS(Test_Cases!$C$2:$C$368,A131,Test_Cases!$L$2:$L$368,"Blocked")</f>
        <v>0</v>
      </c>
      <c r="I131" s="2">
        <f>COUNTIFS(Test_Cases!$C$2:$C$368,A131,Test_Cases!$L$2:$L$368,"Not_Executed")</f>
        <v>0</v>
      </c>
      <c r="J131" s="2" t="str">
        <f t="shared" si="2"/>
        <v>Not Covered</v>
      </c>
      <c r="K131" s="2">
        <f>COUNTIF(Bug_Report!$J$2:$J$55,"*"&amp;A131&amp;"*")</f>
        <v>0</v>
      </c>
    </row>
    <row r="132" spans="1:11">
      <c r="A132" s="2" t="s">
        <v>335</v>
      </c>
      <c r="B132" s="2" t="s">
        <v>332</v>
      </c>
      <c r="C132" s="2" t="s">
        <v>55</v>
      </c>
      <c r="D132" s="2" t="str">
        <f>_xlfn.TEXTJOIN(", ",TRUE,IF(Test_Cases!$C$2:$C$368=A132,Test_Cases!$A$2:$A$368,""))</f>
        <v/>
      </c>
      <c r="E132" s="2">
        <f>COUNTIF(Test_Cases!$C$2:$C$368,A132)</f>
        <v>0</v>
      </c>
      <c r="F132" s="2">
        <f>COUNTIFS(Test_Cases!$C$2:$C$368,A132,Test_Cases!$L$2:$L$368,"Passed")</f>
        <v>0</v>
      </c>
      <c r="G132" s="2">
        <f>COUNTIFS(Test_Cases!$C$2:$C$368,A132,Test_Cases!$L$2:$L$368,"Failed")</f>
        <v>0</v>
      </c>
      <c r="H132" s="2">
        <f>COUNTIFS(Test_Cases!$C$2:$C$368,A132,Test_Cases!$L$2:$L$368,"Blocked")</f>
        <v>0</v>
      </c>
      <c r="I132" s="2">
        <f>COUNTIFS(Test_Cases!$C$2:$C$368,A132,Test_Cases!$L$2:$L$368,"Not_Executed")</f>
        <v>0</v>
      </c>
      <c r="J132" s="2" t="str">
        <f t="shared" si="2"/>
        <v>Not Covered</v>
      </c>
      <c r="K132" s="2">
        <f>COUNTIF(Bug_Report!$J$2:$J$55,"*"&amp;A132&amp;"*")</f>
        <v>0</v>
      </c>
    </row>
    <row r="133" spans="1:11">
      <c r="A133" s="2" t="s">
        <v>337</v>
      </c>
      <c r="B133" s="2" t="s">
        <v>332</v>
      </c>
      <c r="C133" s="2" t="s">
        <v>55</v>
      </c>
      <c r="D133" s="2" t="str">
        <f>_xlfn.TEXTJOIN(", ",TRUE,IF(Test_Cases!$C$2:$C$368=A133,Test_Cases!$A$2:$A$368,""))</f>
        <v/>
      </c>
      <c r="E133" s="2">
        <f>COUNTIF(Test_Cases!$C$2:$C$368,A133)</f>
        <v>0</v>
      </c>
      <c r="F133" s="2">
        <f>COUNTIFS(Test_Cases!$C$2:$C$368,A133,Test_Cases!$L$2:$L$368,"Passed")</f>
        <v>0</v>
      </c>
      <c r="G133" s="2">
        <f>COUNTIFS(Test_Cases!$C$2:$C$368,A133,Test_Cases!$L$2:$L$368,"Failed")</f>
        <v>0</v>
      </c>
      <c r="H133" s="2">
        <f>COUNTIFS(Test_Cases!$C$2:$C$368,A133,Test_Cases!$L$2:$L$368,"Blocked")</f>
        <v>0</v>
      </c>
      <c r="I133" s="2">
        <f>COUNTIFS(Test_Cases!$C$2:$C$368,A133,Test_Cases!$L$2:$L$368,"Not_Executed")</f>
        <v>0</v>
      </c>
      <c r="J133" s="2" t="str">
        <f t="shared" si="2"/>
        <v>Not Covered</v>
      </c>
      <c r="K133" s="2">
        <f>COUNTIF(Bug_Report!$J$2:$J$55,"*"&amp;A133&amp;"*")</f>
        <v>0</v>
      </c>
    </row>
    <row r="134" spans="1:11">
      <c r="A134" s="2" t="s">
        <v>339</v>
      </c>
      <c r="B134" s="2" t="s">
        <v>332</v>
      </c>
      <c r="C134" s="2" t="s">
        <v>55</v>
      </c>
      <c r="D134" s="2" t="str">
        <f>_xlfn.TEXTJOIN(", ",TRUE,IF(Test_Cases!$C$2:$C$368=A134,Test_Cases!$A$2:$A$368,""))</f>
        <v/>
      </c>
      <c r="E134" s="2">
        <f>COUNTIF(Test_Cases!$C$2:$C$368,A134)</f>
        <v>0</v>
      </c>
      <c r="F134" s="2">
        <f>COUNTIFS(Test_Cases!$C$2:$C$368,A134,Test_Cases!$L$2:$L$368,"Passed")</f>
        <v>0</v>
      </c>
      <c r="G134" s="2">
        <f>COUNTIFS(Test_Cases!$C$2:$C$368,A134,Test_Cases!$L$2:$L$368,"Failed")</f>
        <v>0</v>
      </c>
      <c r="H134" s="2">
        <f>COUNTIFS(Test_Cases!$C$2:$C$368,A134,Test_Cases!$L$2:$L$368,"Blocked")</f>
        <v>0</v>
      </c>
      <c r="I134" s="2">
        <f>COUNTIFS(Test_Cases!$C$2:$C$368,A134,Test_Cases!$L$2:$L$368,"Not_Executed")</f>
        <v>0</v>
      </c>
      <c r="J134" s="2" t="str">
        <f t="shared" si="2"/>
        <v>Not Covered</v>
      </c>
      <c r="K134" s="2">
        <f>COUNTIF(Bug_Report!$J$2:$J$55,"*"&amp;A134&amp;"*")</f>
        <v>0</v>
      </c>
    </row>
    <row r="135" spans="1:11">
      <c r="A135" s="2" t="s">
        <v>341</v>
      </c>
      <c r="B135" s="2" t="s">
        <v>332</v>
      </c>
      <c r="C135" s="2" t="s">
        <v>55</v>
      </c>
      <c r="D135" s="2" t="str">
        <f>_xlfn.TEXTJOIN(", ",TRUE,IF(Test_Cases!$C$2:$C$368=A135,Test_Cases!$A$2:$A$368,""))</f>
        <v/>
      </c>
      <c r="E135" s="2">
        <f>COUNTIF(Test_Cases!$C$2:$C$368,A135)</f>
        <v>0</v>
      </c>
      <c r="F135" s="2">
        <f>COUNTIFS(Test_Cases!$C$2:$C$368,A135,Test_Cases!$L$2:$L$368,"Passed")</f>
        <v>0</v>
      </c>
      <c r="G135" s="2">
        <f>COUNTIFS(Test_Cases!$C$2:$C$368,A135,Test_Cases!$L$2:$L$368,"Failed")</f>
        <v>0</v>
      </c>
      <c r="H135" s="2">
        <f>COUNTIFS(Test_Cases!$C$2:$C$368,A135,Test_Cases!$L$2:$L$368,"Blocked")</f>
        <v>0</v>
      </c>
      <c r="I135" s="2">
        <f>COUNTIFS(Test_Cases!$C$2:$C$368,A135,Test_Cases!$L$2:$L$368,"Not_Executed")</f>
        <v>0</v>
      </c>
      <c r="J135" s="2" t="str">
        <f t="shared" si="2"/>
        <v>Not Covered</v>
      </c>
      <c r="K135" s="2">
        <f>COUNTIF(Bug_Report!$J$2:$J$55,"*"&amp;A135&amp;"*")</f>
        <v>0</v>
      </c>
    </row>
    <row r="136" spans="1:11">
      <c r="A136" s="2" t="s">
        <v>343</v>
      </c>
      <c r="B136" s="2" t="s">
        <v>332</v>
      </c>
      <c r="C136" s="2" t="s">
        <v>55</v>
      </c>
      <c r="D136" s="2" t="str">
        <f>_xlfn.TEXTJOIN(", ",TRUE,IF(Test_Cases!$C$2:$C$368=A136,Test_Cases!$A$2:$A$368,""))</f>
        <v/>
      </c>
      <c r="E136" s="2">
        <f>COUNTIF(Test_Cases!$C$2:$C$368,A136)</f>
        <v>0</v>
      </c>
      <c r="F136" s="2">
        <f>COUNTIFS(Test_Cases!$C$2:$C$368,A136,Test_Cases!$L$2:$L$368,"Passed")</f>
        <v>0</v>
      </c>
      <c r="G136" s="2">
        <f>COUNTIFS(Test_Cases!$C$2:$C$368,A136,Test_Cases!$L$2:$L$368,"Failed")</f>
        <v>0</v>
      </c>
      <c r="H136" s="2">
        <f>COUNTIFS(Test_Cases!$C$2:$C$368,A136,Test_Cases!$L$2:$L$368,"Blocked")</f>
        <v>0</v>
      </c>
      <c r="I136" s="2">
        <f>COUNTIFS(Test_Cases!$C$2:$C$368,A136,Test_Cases!$L$2:$L$368,"Not_Executed")</f>
        <v>0</v>
      </c>
      <c r="J136" s="2" t="str">
        <f t="shared" si="2"/>
        <v>Not Covered</v>
      </c>
      <c r="K136" s="2">
        <f>COUNTIF(Bug_Report!$J$2:$J$55,"*"&amp;A136&amp;"*")</f>
        <v>0</v>
      </c>
    </row>
    <row r="137" spans="1:11">
      <c r="A137" s="2" t="s">
        <v>345</v>
      </c>
      <c r="B137" s="2" t="s">
        <v>347</v>
      </c>
      <c r="C137" s="2" t="s">
        <v>55</v>
      </c>
      <c r="D137" s="2" t="str">
        <f>_xlfn.TEXTJOIN(", ",TRUE,IF(Test_Cases!$C$2:$C$368=A137,Test_Cases!$A$2:$A$368,""))</f>
        <v/>
      </c>
      <c r="E137" s="2">
        <f>COUNTIF(Test_Cases!$C$2:$C$368,A137)</f>
        <v>0</v>
      </c>
      <c r="F137" s="2">
        <f>COUNTIFS(Test_Cases!$C$2:$C$368,A137,Test_Cases!$L$2:$L$368,"Passed")</f>
        <v>0</v>
      </c>
      <c r="G137" s="2">
        <f>COUNTIFS(Test_Cases!$C$2:$C$368,A137,Test_Cases!$L$2:$L$368,"Failed")</f>
        <v>0</v>
      </c>
      <c r="H137" s="2">
        <f>COUNTIFS(Test_Cases!$C$2:$C$368,A137,Test_Cases!$L$2:$L$368,"Blocked")</f>
        <v>0</v>
      </c>
      <c r="I137" s="2">
        <f>COUNTIFS(Test_Cases!$C$2:$C$368,A137,Test_Cases!$L$2:$L$368,"Not_Executed")</f>
        <v>0</v>
      </c>
      <c r="J137" s="2" t="str">
        <f t="shared" si="2"/>
        <v>Not Covered</v>
      </c>
      <c r="K137" s="2">
        <f>COUNTIF(Bug_Report!$J$2:$J$55,"*"&amp;A137&amp;"*")</f>
        <v>0</v>
      </c>
    </row>
    <row r="138" spans="1:11">
      <c r="A138" s="2" t="s">
        <v>348</v>
      </c>
      <c r="B138" s="2" t="s">
        <v>350</v>
      </c>
      <c r="C138" s="2" t="s">
        <v>55</v>
      </c>
      <c r="D138" s="2" t="str">
        <f>_xlfn.TEXTJOIN(", ",TRUE,IF(Test_Cases!$C$2:$C$368=A138,Test_Cases!$A$2:$A$368,""))</f>
        <v/>
      </c>
      <c r="E138" s="2">
        <f>COUNTIF(Test_Cases!$C$2:$C$368,A138)</f>
        <v>0</v>
      </c>
      <c r="F138" s="2">
        <f>COUNTIFS(Test_Cases!$C$2:$C$368,A138,Test_Cases!$L$2:$L$368,"Passed")</f>
        <v>0</v>
      </c>
      <c r="G138" s="2">
        <f>COUNTIFS(Test_Cases!$C$2:$C$368,A138,Test_Cases!$L$2:$L$368,"Failed")</f>
        <v>0</v>
      </c>
      <c r="H138" s="2">
        <f>COUNTIFS(Test_Cases!$C$2:$C$368,A138,Test_Cases!$L$2:$L$368,"Blocked")</f>
        <v>0</v>
      </c>
      <c r="I138" s="2">
        <f>COUNTIFS(Test_Cases!$C$2:$C$368,A138,Test_Cases!$L$2:$L$368,"Not_Executed")</f>
        <v>0</v>
      </c>
      <c r="J138" s="2" t="str">
        <f t="shared" si="2"/>
        <v>Not Covered</v>
      </c>
      <c r="K138" s="2">
        <f>COUNTIF(Bug_Report!$J$2:$J$55,"*"&amp;A138&amp;"*")</f>
        <v>0</v>
      </c>
    </row>
    <row r="139" spans="1:11">
      <c r="A139" s="2" t="s">
        <v>351</v>
      </c>
      <c r="B139" s="2" t="s">
        <v>353</v>
      </c>
      <c r="C139" s="2" t="s">
        <v>55</v>
      </c>
      <c r="D139" s="2" t="str">
        <f>_xlfn.TEXTJOIN(", ",TRUE,IF(Test_Cases!$C$2:$C$368=A139,Test_Cases!$A$2:$A$368,""))</f>
        <v/>
      </c>
      <c r="E139" s="2">
        <f>COUNTIF(Test_Cases!$C$2:$C$368,A139)</f>
        <v>0</v>
      </c>
      <c r="F139" s="2">
        <f>COUNTIFS(Test_Cases!$C$2:$C$368,A139,Test_Cases!$L$2:$L$368,"Passed")</f>
        <v>0</v>
      </c>
      <c r="G139" s="2">
        <f>COUNTIFS(Test_Cases!$C$2:$C$368,A139,Test_Cases!$L$2:$L$368,"Failed")</f>
        <v>0</v>
      </c>
      <c r="H139" s="2">
        <f>COUNTIFS(Test_Cases!$C$2:$C$368,A139,Test_Cases!$L$2:$L$368,"Blocked")</f>
        <v>0</v>
      </c>
      <c r="I139" s="2">
        <f>COUNTIFS(Test_Cases!$C$2:$C$368,A139,Test_Cases!$L$2:$L$368,"Not_Executed")</f>
        <v>0</v>
      </c>
      <c r="J139" s="2" t="str">
        <f t="shared" si="2"/>
        <v>Not Covered</v>
      </c>
      <c r="K139" s="2">
        <f>COUNTIF(Bug_Report!$J$2:$J$55,"*"&amp;A139&amp;"*")</f>
        <v>0</v>
      </c>
    </row>
    <row r="140" spans="1:11">
      <c r="A140" s="2" t="s">
        <v>354</v>
      </c>
      <c r="B140" s="2" t="s">
        <v>353</v>
      </c>
      <c r="C140" s="2" t="s">
        <v>113</v>
      </c>
      <c r="D140" s="2" t="str">
        <f>_xlfn.TEXTJOIN(", ",TRUE,IF(Test_Cases!$C$2:$C$368=A140,Test_Cases!$A$2:$A$368,""))</f>
        <v/>
      </c>
      <c r="E140" s="2">
        <f>COUNTIF(Test_Cases!$C$2:$C$368,A140)</f>
        <v>0</v>
      </c>
      <c r="F140" s="2">
        <f>COUNTIFS(Test_Cases!$C$2:$C$368,A140,Test_Cases!$L$2:$L$368,"Passed")</f>
        <v>0</v>
      </c>
      <c r="G140" s="2">
        <f>COUNTIFS(Test_Cases!$C$2:$C$368,A140,Test_Cases!$L$2:$L$368,"Failed")</f>
        <v>0</v>
      </c>
      <c r="H140" s="2">
        <f>COUNTIFS(Test_Cases!$C$2:$C$368,A140,Test_Cases!$L$2:$L$368,"Blocked")</f>
        <v>0</v>
      </c>
      <c r="I140" s="2">
        <f>COUNTIFS(Test_Cases!$C$2:$C$368,A140,Test_Cases!$L$2:$L$368,"Not_Executed")</f>
        <v>0</v>
      </c>
      <c r="J140" s="2" t="str">
        <f t="shared" si="2"/>
        <v>Not Covered</v>
      </c>
      <c r="K140" s="2">
        <f>COUNTIF(Bug_Report!$J$2:$J$55,"*"&amp;A140&amp;"*")</f>
        <v>0</v>
      </c>
    </row>
    <row r="141" spans="1:11">
      <c r="A141" s="2" t="s">
        <v>356</v>
      </c>
      <c r="B141" s="2" t="s">
        <v>353</v>
      </c>
      <c r="C141" s="2" t="s">
        <v>113</v>
      </c>
      <c r="D141" s="2" t="str">
        <f>_xlfn.TEXTJOIN(", ",TRUE,IF(Test_Cases!$C$2:$C$368=A141,Test_Cases!$A$2:$A$368,""))</f>
        <v/>
      </c>
      <c r="E141" s="2">
        <f>COUNTIF(Test_Cases!$C$2:$C$368,A141)</f>
        <v>0</v>
      </c>
      <c r="F141" s="2">
        <f>COUNTIFS(Test_Cases!$C$2:$C$368,A141,Test_Cases!$L$2:$L$368,"Passed")</f>
        <v>0</v>
      </c>
      <c r="G141" s="2">
        <f>COUNTIFS(Test_Cases!$C$2:$C$368,A141,Test_Cases!$L$2:$L$368,"Failed")</f>
        <v>0</v>
      </c>
      <c r="H141" s="2">
        <f>COUNTIFS(Test_Cases!$C$2:$C$368,A141,Test_Cases!$L$2:$L$368,"Blocked")</f>
        <v>0</v>
      </c>
      <c r="I141" s="2">
        <f>COUNTIFS(Test_Cases!$C$2:$C$368,A141,Test_Cases!$L$2:$L$368,"Not_Executed")</f>
        <v>0</v>
      </c>
      <c r="J141" s="2" t="str">
        <f t="shared" si="2"/>
        <v>Not Covered</v>
      </c>
      <c r="K141" s="2">
        <f>COUNTIF(Bug_Report!$J$2:$J$55,"*"&amp;A141&amp;"*")</f>
        <v>0</v>
      </c>
    </row>
    <row r="142" spans="1:11">
      <c r="A142" s="2" t="s">
        <v>358</v>
      </c>
      <c r="B142" s="2" t="s">
        <v>360</v>
      </c>
      <c r="C142" s="2" t="s">
        <v>55</v>
      </c>
      <c r="D142" s="2" t="str">
        <f>_xlfn.TEXTJOIN(", ",TRUE,IF(Test_Cases!$C$2:$C$368=A142,Test_Cases!$A$2:$A$368,""))</f>
        <v/>
      </c>
      <c r="E142" s="2">
        <f>COUNTIF(Test_Cases!$C$2:$C$368,A142)</f>
        <v>0</v>
      </c>
      <c r="F142" s="2">
        <f>COUNTIFS(Test_Cases!$C$2:$C$368,A142,Test_Cases!$L$2:$L$368,"Passed")</f>
        <v>0</v>
      </c>
      <c r="G142" s="2">
        <f>COUNTIFS(Test_Cases!$C$2:$C$368,A142,Test_Cases!$L$2:$L$368,"Failed")</f>
        <v>0</v>
      </c>
      <c r="H142" s="2">
        <f>COUNTIFS(Test_Cases!$C$2:$C$368,A142,Test_Cases!$L$2:$L$368,"Blocked")</f>
        <v>0</v>
      </c>
      <c r="I142" s="2">
        <f>COUNTIFS(Test_Cases!$C$2:$C$368,A142,Test_Cases!$L$2:$L$368,"Not_Executed")</f>
        <v>0</v>
      </c>
      <c r="J142" s="2" t="str">
        <f t="shared" si="2"/>
        <v>Not Covered</v>
      </c>
      <c r="K142" s="2">
        <f>COUNTIF(Bug_Report!$J$2:$J$55,"*"&amp;A142&amp;"*")</f>
        <v>0</v>
      </c>
    </row>
    <row r="143" spans="1:11">
      <c r="A143" s="2" t="s">
        <v>361</v>
      </c>
      <c r="B143" s="2" t="s">
        <v>363</v>
      </c>
      <c r="C143" s="2" t="s">
        <v>55</v>
      </c>
      <c r="D143" s="2" t="str">
        <f>_xlfn.TEXTJOIN(", ",TRUE,IF(Test_Cases!$C$2:$C$368=A143,Test_Cases!$A$2:$A$368,""))</f>
        <v/>
      </c>
      <c r="E143" s="2">
        <f>COUNTIF(Test_Cases!$C$2:$C$368,A143)</f>
        <v>0</v>
      </c>
      <c r="F143" s="2">
        <f>COUNTIFS(Test_Cases!$C$2:$C$368,A143,Test_Cases!$L$2:$L$368,"Passed")</f>
        <v>0</v>
      </c>
      <c r="G143" s="2">
        <f>COUNTIFS(Test_Cases!$C$2:$C$368,A143,Test_Cases!$L$2:$L$368,"Failed")</f>
        <v>0</v>
      </c>
      <c r="H143" s="2">
        <f>COUNTIFS(Test_Cases!$C$2:$C$368,A143,Test_Cases!$L$2:$L$368,"Blocked")</f>
        <v>0</v>
      </c>
      <c r="I143" s="2">
        <f>COUNTIFS(Test_Cases!$C$2:$C$368,A143,Test_Cases!$L$2:$L$368,"Not_Executed")</f>
        <v>0</v>
      </c>
      <c r="J143" s="2" t="str">
        <f t="shared" si="2"/>
        <v>Not Covered</v>
      </c>
      <c r="K143" s="2">
        <f>COUNTIF(Bug_Report!$J$2:$J$55,"*"&amp;A143&amp;"*")</f>
        <v>0</v>
      </c>
    </row>
    <row r="144" spans="1:11">
      <c r="A144" s="2" t="s">
        <v>364</v>
      </c>
      <c r="B144" s="2" t="s">
        <v>363</v>
      </c>
      <c r="C144" s="2" t="s">
        <v>55</v>
      </c>
      <c r="D144" s="2" t="str">
        <f>_xlfn.TEXTJOIN(", ",TRUE,IF(Test_Cases!$C$2:$C$368=A144,Test_Cases!$A$2:$A$368,""))</f>
        <v/>
      </c>
      <c r="E144" s="2">
        <f>COUNTIF(Test_Cases!$C$2:$C$368,A144)</f>
        <v>0</v>
      </c>
      <c r="F144" s="2">
        <f>COUNTIFS(Test_Cases!$C$2:$C$368,A144,Test_Cases!$L$2:$L$368,"Passed")</f>
        <v>0</v>
      </c>
      <c r="G144" s="2">
        <f>COUNTIFS(Test_Cases!$C$2:$C$368,A144,Test_Cases!$L$2:$L$368,"Failed")</f>
        <v>0</v>
      </c>
      <c r="H144" s="2">
        <f>COUNTIFS(Test_Cases!$C$2:$C$368,A144,Test_Cases!$L$2:$L$368,"Blocked")</f>
        <v>0</v>
      </c>
      <c r="I144" s="2">
        <f>COUNTIFS(Test_Cases!$C$2:$C$368,A144,Test_Cases!$L$2:$L$368,"Not_Executed")</f>
        <v>0</v>
      </c>
      <c r="J144" s="2" t="str">
        <f t="shared" si="2"/>
        <v>Not Covered</v>
      </c>
      <c r="K144" s="2">
        <f>COUNTIF(Bug_Report!$J$2:$J$55,"*"&amp;A144&amp;"*")</f>
        <v>0</v>
      </c>
    </row>
    <row r="145" spans="1:11">
      <c r="A145" s="2" t="s">
        <v>366</v>
      </c>
      <c r="B145" s="2" t="s">
        <v>368</v>
      </c>
      <c r="C145" s="2" t="s">
        <v>113</v>
      </c>
      <c r="D145" s="2" t="str">
        <f>_xlfn.TEXTJOIN(", ",TRUE,IF(Test_Cases!$C$2:$C$368=A145,Test_Cases!$A$2:$A$368,""))</f>
        <v/>
      </c>
      <c r="E145" s="2">
        <f>COUNTIF(Test_Cases!$C$2:$C$368,A145)</f>
        <v>0</v>
      </c>
      <c r="F145" s="2">
        <f>COUNTIFS(Test_Cases!$C$2:$C$368,A145,Test_Cases!$L$2:$L$368,"Passed")</f>
        <v>0</v>
      </c>
      <c r="G145" s="2">
        <f>COUNTIFS(Test_Cases!$C$2:$C$368,A145,Test_Cases!$L$2:$L$368,"Failed")</f>
        <v>0</v>
      </c>
      <c r="H145" s="2">
        <f>COUNTIFS(Test_Cases!$C$2:$C$368,A145,Test_Cases!$L$2:$L$368,"Blocked")</f>
        <v>0</v>
      </c>
      <c r="I145" s="2">
        <f>COUNTIFS(Test_Cases!$C$2:$C$368,A145,Test_Cases!$L$2:$L$368,"Not_Executed")</f>
        <v>0</v>
      </c>
      <c r="J145" s="2" t="str">
        <f t="shared" si="2"/>
        <v>Not Covered</v>
      </c>
      <c r="K145" s="2">
        <f>COUNTIF(Bug_Report!$J$2:$J$55,"*"&amp;A145&amp;"*")</f>
        <v>0</v>
      </c>
    </row>
  </sheetData>
  <conditionalFormatting sqref="J2:J145">
    <cfRule type="cellIs" dxfId="0" priority="1" operator="equal">
      <formula>"Fully Covered"</formula>
    </cfRule>
    <cfRule type="cellIs" dxfId="2" priority="2" operator="equal">
      <formula>"Partial"</formula>
    </cfRule>
    <cfRule type="cellIs" dxfId="3" priority="3" operator="equal">
      <formula>"Not Covered"</formula>
    </cfRule>
    <cfRule type="cellIs" dxfId="1" priority="4" operator="equal">
      <formula>"Failing"</formula>
    </cfRule>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7</vt:i4>
      </vt:variant>
    </vt:vector>
  </HeadingPairs>
  <TitlesOfParts>
    <vt:vector size="7" baseType="lpstr">
      <vt:lpstr>Project_Info</vt:lpstr>
      <vt:lpstr>Summary_Report</vt:lpstr>
      <vt:lpstr>Requirements</vt:lpstr>
      <vt:lpstr>User_Stories</vt:lpstr>
      <vt:lpstr>Test_Cases</vt:lpstr>
      <vt:lpstr>Bug_Report</vt:lpstr>
      <vt:lpstr>Traceability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MKamel</cp:lastModifiedBy>
  <dcterms:created xsi:type="dcterms:W3CDTF">2026-07-13T17:41:00Z</dcterms:created>
  <dcterms:modified xsi:type="dcterms:W3CDTF">2026-07-13T17:52:03Z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C7D5AD3CD08A49DBBD8BE4C28C491A60_12</vt:lpwstr>
  </property>
  <property fmtid="{D5CDD505-2E9C-101B-9397-08002B2CF9AE}" pid="3" name="KSOProductBuildVer">
    <vt:lpwstr>1033-12.1.0.26880</vt:lpwstr>
  </property>
  <property fmtid="{D5CDD505-2E9C-101B-9397-08002B2CF9AE}" pid="4" name="CalculationRule">
    <vt:i4>0</vt:i4>
  </property>
</Properties>
</file>